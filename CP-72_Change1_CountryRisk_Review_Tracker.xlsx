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Overview" sheetId="2" state="visible" r:id="rId4"/>
    <sheet name="1_Completeness" sheetId="3" state="visible" r:id="rId5"/>
    <sheet name="3_Downstream" sheetId="4" state="visible" r:id="rId6"/>
    <sheet name="6_Scenarios" sheetId="5" state="visible" r:id="rId7"/>
    <sheet name="7_Sensitivity" sheetId="6" state="visible" r:id="rId8"/>
    <sheet name="8_AJ" sheetId="7" state="visible" r:id="rId9"/>
    <sheet name="9_Wording" sheetId="8" state="visible" r:id="rId10"/>
    <sheet name="5_10_SquadClaims" sheetId="9" state="visible" r:id="rId11"/>
    <sheet name="2_11_Benchmarks" sheetId="10" state="visible" r:id="rId12"/>
    <sheet name="Materials" sheetId="11" state="visible" r:id="rId13"/>
    <sheet name="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<sst xmlns="http://schemas.openxmlformats.org/spreadsheetml/2006/main" count="1196" uniqueCount="889">
  <si>
    <t xml:space="preserve">CP-72 Change #1 Country Risk Simplification — AQV Review Tracker</t>
  </si>
  <si>
    <r>
      <rPr>
        <i val="true"/>
        <sz val="9"/>
        <color rgb="FF555555"/>
        <rFont val="Noto Sans CJK SC"/>
        <family val="2"/>
      </rPr>
      <t xml:space="preserve">建立 </t>
    </r>
    <r>
      <rPr>
        <i val="true"/>
        <sz val="9"/>
        <color rgb="FF555555"/>
        <rFont val="Arial"/>
        <family val="0"/>
        <charset val="1"/>
      </rPr>
      <t xml:space="preserve">2026-09-23</t>
    </r>
    <r>
      <rPr>
        <i val="true"/>
        <sz val="9"/>
        <color rgb="FF555555"/>
        <rFont val="Noto Sans CJK SC"/>
        <family val="2"/>
      </rPr>
      <t xml:space="preserve">。用途：按 </t>
    </r>
    <r>
      <rPr>
        <i val="true"/>
        <sz val="9"/>
        <color rgb="FF555555"/>
        <rFont val="Arial"/>
        <family val="0"/>
        <charset val="1"/>
      </rPr>
      <t xml:space="preserve">12 </t>
    </r>
    <r>
      <rPr>
        <i val="true"/>
        <sz val="9"/>
        <color rgb="FF555555"/>
        <rFont val="Noto Sans CJK SC"/>
        <family val="2"/>
      </rPr>
      <t xml:space="preserve">个分析题目追踪已有材料、还需材料、目前分析与初步结论。</t>
    </r>
  </si>
  <si>
    <t xml:space="preserve">Sheet</t>
  </si>
  <si>
    <t xml:space="preserve">内容</t>
  </si>
  <si>
    <t xml:space="preserve">Overview</t>
  </si>
  <si>
    <r>
      <rPr>
        <sz val="10"/>
        <rFont val="Arial"/>
        <family val="0"/>
        <charset val="1"/>
      </rPr>
      <t xml:space="preserve">12 </t>
    </r>
    <r>
      <rPr>
        <sz val="10"/>
        <rFont val="Noto Sans CJK SC"/>
        <family val="2"/>
      </rPr>
      <t xml:space="preserve">个题目的总表：分工、已有材料、还需材料、目前分析、初步结论、状态、</t>
    </r>
    <r>
      <rPr>
        <sz val="10"/>
        <rFont val="Arial"/>
        <family val="0"/>
        <charset val="1"/>
      </rPr>
      <t xml:space="preserve">CVR </t>
    </r>
    <r>
      <rPr>
        <sz val="10"/>
        <rFont val="Noto Sans CJK SC"/>
        <family val="2"/>
      </rPr>
      <t xml:space="preserve">落点。</t>
    </r>
  </si>
  <si>
    <t xml:space="preserve">1_Completeness</t>
  </si>
  <si>
    <r>
      <rPr>
        <sz val="10"/>
        <rFont val="Noto Sans CJK SC"/>
        <family val="2"/>
      </rPr>
      <t xml:space="preserve">题 </t>
    </r>
    <r>
      <rPr>
        <sz val="10"/>
        <rFont val="Arial"/>
        <family val="0"/>
        <charset val="1"/>
      </rPr>
      <t xml:space="preserve">1</t>
    </r>
    <r>
      <rPr>
        <sz val="10"/>
        <rFont val="Noto Sans CJK SC"/>
        <family val="2"/>
      </rPr>
      <t xml:space="preserve">：现行 </t>
    </r>
    <r>
      <rPr>
        <sz val="10"/>
        <rFont val="Arial"/>
        <family val="0"/>
        <charset val="1"/>
      </rPr>
      <t xml:space="preserve">Corporate Methodology </t>
    </r>
    <r>
      <rPr>
        <sz val="10"/>
        <rFont val="Noto Sans CJK SC"/>
        <family val="2"/>
      </rPr>
      <t xml:space="preserve">中 </t>
    </r>
    <r>
      <rPr>
        <sz val="10"/>
        <rFont val="Arial"/>
        <family val="0"/>
        <charset val="1"/>
      </rPr>
      <t xml:space="preserve">country risk </t>
    </r>
    <r>
      <rPr>
        <sz val="10"/>
        <rFont val="Noto Sans CJK SC"/>
        <family val="2"/>
      </rPr>
      <t xml:space="preserve">的每一个概念在 </t>
    </r>
    <r>
      <rPr>
        <sz val="10"/>
        <rFont val="Arial"/>
        <family val="0"/>
        <charset val="1"/>
      </rPr>
      <t xml:space="preserve">squad proposal </t>
    </r>
    <r>
      <rPr>
        <sz val="10"/>
        <rFont val="Noto Sans CJK SC"/>
        <family val="2"/>
      </rPr>
      <t xml:space="preserve">中的去向（</t>
    </r>
    <r>
      <rPr>
        <sz val="10"/>
        <rFont val="Arial"/>
        <family val="0"/>
        <charset val="1"/>
      </rPr>
      <t xml:space="preserve">retained / removed / new / unclear</t>
    </r>
    <r>
      <rPr>
        <sz val="10"/>
        <rFont val="Noto Sans CJK SC"/>
        <family val="2"/>
      </rPr>
      <t xml:space="preserve">）。</t>
    </r>
  </si>
  <si>
    <t xml:space="preserve">3_Downstream</t>
  </si>
  <si>
    <r>
      <rPr>
        <sz val="10"/>
        <rFont val="Noto Sans CJK SC"/>
        <family val="2"/>
      </rPr>
      <t xml:space="preserve">题 </t>
    </r>
    <r>
      <rPr>
        <sz val="10"/>
        <rFont val="Arial"/>
        <family val="0"/>
        <charset val="1"/>
      </rPr>
      <t xml:space="preserve">3</t>
    </r>
    <r>
      <rPr>
        <sz val="10"/>
        <rFont val="Noto Sans CJK SC"/>
        <family val="2"/>
      </rPr>
      <t xml:space="preserve">：</t>
    </r>
    <r>
      <rPr>
        <sz val="10"/>
        <rFont val="Arial"/>
        <family val="0"/>
        <charset val="1"/>
      </rPr>
      <t xml:space="preserve">Corporate Methodology</t>
    </r>
    <r>
      <rPr>
        <sz val="10"/>
        <rFont val="Noto Sans CJK SC"/>
        <family val="2"/>
      </rPr>
      <t xml:space="preserve">、</t>
    </r>
    <r>
      <rPr>
        <sz val="10"/>
        <rFont val="Arial"/>
        <family val="0"/>
        <charset val="1"/>
      </rPr>
      <t xml:space="preserve">SSCM</t>
    </r>
    <r>
      <rPr>
        <sz val="10"/>
        <rFont val="Noto Sans CJK SC"/>
        <family val="2"/>
      </rPr>
      <t xml:space="preserve">、其他 </t>
    </r>
    <r>
      <rPr>
        <sz val="10"/>
        <rFont val="Arial"/>
        <family val="0"/>
        <charset val="1"/>
      </rPr>
      <t xml:space="preserve">criteria </t>
    </r>
    <r>
      <rPr>
        <sz val="10"/>
        <rFont val="Noto Sans CJK SC"/>
        <family val="2"/>
      </rPr>
      <t xml:space="preserve">与 </t>
    </r>
    <r>
      <rPr>
        <sz val="10"/>
        <rFont val="Arial"/>
        <family val="0"/>
        <charset val="1"/>
      </rPr>
      <t xml:space="preserve">CCST </t>
    </r>
    <r>
      <rPr>
        <sz val="10"/>
        <rFont val="Noto Sans CJK SC"/>
        <family val="2"/>
      </rPr>
      <t xml:space="preserve">中依赖 </t>
    </r>
    <r>
      <rPr>
        <sz val="10"/>
        <rFont val="Arial"/>
        <family val="0"/>
        <charset val="1"/>
      </rPr>
      <t xml:space="preserve">country risk assessment </t>
    </r>
    <r>
      <rPr>
        <sz val="10"/>
        <rFont val="Noto Sans CJK SC"/>
        <family val="2"/>
      </rPr>
      <t xml:space="preserve">的每一处引用，以及新 </t>
    </r>
    <r>
      <rPr>
        <sz val="10"/>
        <rFont val="Arial"/>
        <family val="0"/>
        <charset val="1"/>
      </rPr>
      <t xml:space="preserve">determination </t>
    </r>
    <r>
      <rPr>
        <sz val="10"/>
        <rFont val="Noto Sans CJK SC"/>
        <family val="2"/>
      </rPr>
      <t xml:space="preserve">下的影响。</t>
    </r>
  </si>
  <si>
    <t xml:space="preserve">6_Scenarios</t>
  </si>
  <si>
    <r>
      <rPr>
        <sz val="10"/>
        <rFont val="Noto Sans CJK SC"/>
        <family val="2"/>
      </rPr>
      <t xml:space="preserve">题 </t>
    </r>
    <r>
      <rPr>
        <sz val="10"/>
        <rFont val="Arial"/>
        <family val="0"/>
        <charset val="1"/>
      </rPr>
      <t xml:space="preserve">6</t>
    </r>
    <r>
      <rPr>
        <sz val="10"/>
        <rFont val="Noto Sans CJK SC"/>
        <family val="2"/>
      </rPr>
      <t xml:space="preserve">：</t>
    </r>
    <r>
      <rPr>
        <sz val="10"/>
        <rFont val="Arial"/>
        <family val="0"/>
        <charset val="1"/>
      </rPr>
      <t xml:space="preserve">Gregoire </t>
    </r>
    <r>
      <rPr>
        <sz val="10"/>
        <rFont val="Noto Sans CJK SC"/>
        <family val="2"/>
      </rPr>
      <t xml:space="preserve">的 </t>
    </r>
    <r>
      <rPr>
        <sz val="10"/>
        <rFont val="Arial"/>
        <family val="0"/>
        <charset val="1"/>
      </rPr>
      <t xml:space="preserve">scenario analysis</t>
    </r>
    <r>
      <rPr>
        <sz val="10"/>
        <rFont val="Noto Sans CJK SC"/>
        <family val="2"/>
      </rPr>
      <t xml:space="preserve">（</t>
    </r>
    <r>
      <rPr>
        <sz val="10"/>
        <rFont val="Arial"/>
        <family val="0"/>
        <charset val="1"/>
      </rPr>
      <t xml:space="preserve">S1–S9</t>
    </r>
    <r>
      <rPr>
        <sz val="10"/>
        <rFont val="Noto Sans CJK SC"/>
        <family val="2"/>
      </rPr>
      <t xml:space="preserve">）：机制、可接受性、发生概率、需要的证据。</t>
    </r>
  </si>
  <si>
    <t xml:space="preserve">7_Sensitivity</t>
  </si>
  <si>
    <r>
      <rPr>
        <sz val="10"/>
        <rFont val="Noto Sans CJK SC"/>
        <family val="2"/>
      </rPr>
      <t xml:space="preserve">题 </t>
    </r>
    <r>
      <rPr>
        <sz val="10"/>
        <rFont val="Arial"/>
        <family val="0"/>
        <charset val="1"/>
      </rPr>
      <t xml:space="preserve">7</t>
    </r>
    <r>
      <rPr>
        <sz val="10"/>
        <rFont val="Noto Sans CJK SC"/>
        <family val="2"/>
      </rPr>
      <t xml:space="preserve">：</t>
    </r>
    <r>
      <rPr>
        <sz val="10"/>
        <rFont val="Arial"/>
        <family val="0"/>
        <charset val="1"/>
      </rPr>
      <t xml:space="preserve">country risk </t>
    </r>
    <r>
      <rPr>
        <sz val="10"/>
        <rFont val="Noto Sans CJK SC"/>
        <family val="2"/>
      </rPr>
      <t xml:space="preserve">恶化一个 </t>
    </r>
    <r>
      <rPr>
        <sz val="10"/>
        <rFont val="Arial"/>
        <family val="0"/>
        <charset val="1"/>
      </rPr>
      <t xml:space="preserve">category </t>
    </r>
    <r>
      <rPr>
        <sz val="10"/>
        <rFont val="Noto Sans CJK SC"/>
        <family val="2"/>
      </rPr>
      <t xml:space="preserve">经 </t>
    </r>
    <r>
      <rPr>
        <sz val="10"/>
        <rFont val="Arial"/>
        <family val="0"/>
        <charset val="1"/>
      </rPr>
      <t xml:space="preserve">Table 1 → Table 2 → Table 3 </t>
    </r>
    <r>
      <rPr>
        <sz val="10"/>
        <rFont val="Noto Sans CJK SC"/>
        <family val="2"/>
      </rPr>
      <t xml:space="preserve">的传导（含公式，可改 </t>
    </r>
    <r>
      <rPr>
        <sz val="10"/>
        <rFont val="Arial"/>
        <family val="0"/>
        <charset val="1"/>
      </rPr>
      <t xml:space="preserve">input grid</t>
    </r>
    <r>
      <rPr>
        <sz val="10"/>
        <rFont val="Noto Sans CJK SC"/>
        <family val="2"/>
      </rPr>
      <t xml:space="preserve">）。</t>
    </r>
  </si>
  <si>
    <t xml:space="preserve">8_AJ</t>
  </si>
  <si>
    <r>
      <rPr>
        <sz val="10"/>
        <rFont val="Noto Sans CJK SC"/>
        <family val="2"/>
      </rPr>
      <t xml:space="preserve">题 </t>
    </r>
    <r>
      <rPr>
        <sz val="10"/>
        <rFont val="Arial"/>
        <family val="0"/>
        <charset val="1"/>
      </rPr>
      <t xml:space="preserve">8</t>
    </r>
    <r>
      <rPr>
        <sz val="10"/>
        <rFont val="Noto Sans CJK SC"/>
        <family val="2"/>
      </rPr>
      <t xml:space="preserve">：</t>
    </r>
    <r>
      <rPr>
        <sz val="10"/>
        <rFont val="Arial"/>
        <family val="0"/>
        <charset val="1"/>
      </rPr>
      <t xml:space="preserve">analytical judgement </t>
    </r>
    <r>
      <rPr>
        <sz val="10"/>
        <rFont val="Noto Sans CJK SC"/>
        <family val="2"/>
      </rPr>
      <t xml:space="preserve">节点的 </t>
    </r>
    <r>
      <rPr>
        <sz val="10"/>
        <rFont val="Arial"/>
        <family val="0"/>
        <charset val="1"/>
      </rPr>
      <t xml:space="preserve">degree</t>
    </r>
    <r>
      <rPr>
        <sz val="10"/>
        <rFont val="Noto Sans CJK SC"/>
        <family val="2"/>
      </rPr>
      <t xml:space="preserve">（</t>
    </r>
    <r>
      <rPr>
        <sz val="10"/>
        <rFont val="Arial"/>
        <family val="0"/>
        <charset val="1"/>
      </rPr>
      <t xml:space="preserve">0–5</t>
    </r>
    <r>
      <rPr>
        <sz val="10"/>
        <rFont val="Noto Sans CJK SC"/>
        <family val="2"/>
      </rPr>
      <t xml:space="preserve">）与 </t>
    </r>
    <r>
      <rPr>
        <sz val="10"/>
        <rFont val="Arial"/>
        <family val="0"/>
        <charset val="1"/>
      </rPr>
      <t xml:space="preserve">impact</t>
    </r>
    <r>
      <rPr>
        <sz val="10"/>
        <rFont val="Noto Sans CJK SC"/>
        <family val="2"/>
      </rPr>
      <t xml:space="preserve">（</t>
    </r>
    <r>
      <rPr>
        <sz val="10"/>
        <rFont val="Arial"/>
        <family val="0"/>
        <charset val="1"/>
      </rPr>
      <t xml:space="preserve">1–3</t>
    </r>
    <r>
      <rPr>
        <sz val="10"/>
        <rFont val="Noto Sans CJK SC"/>
        <family val="2"/>
      </rPr>
      <t xml:space="preserve">）初评。</t>
    </r>
  </si>
  <si>
    <t xml:space="preserve">9_Wording</t>
  </si>
  <si>
    <r>
      <rPr>
        <sz val="10"/>
        <rFont val="Noto Sans CJK SC"/>
        <family val="2"/>
      </rPr>
      <t xml:space="preserve">题 </t>
    </r>
    <r>
      <rPr>
        <sz val="10"/>
        <rFont val="Arial"/>
        <family val="0"/>
        <charset val="1"/>
      </rPr>
      <t xml:space="preserve">9</t>
    </r>
    <r>
      <rPr>
        <sz val="10"/>
        <rFont val="Noto Sans CJK SC"/>
        <family val="2"/>
      </rPr>
      <t xml:space="preserve">：</t>
    </r>
    <r>
      <rPr>
        <sz val="10"/>
        <rFont val="Arial"/>
        <family val="0"/>
        <charset val="1"/>
      </rPr>
      <t xml:space="preserve">wording / logic </t>
    </r>
    <r>
      <rPr>
        <sz val="10"/>
        <rFont val="Noto Sans CJK SC"/>
        <family val="2"/>
      </rPr>
      <t xml:space="preserve">观察点，作为未来 </t>
    </r>
    <r>
      <rPr>
        <sz val="10"/>
        <rFont val="Arial"/>
        <family val="0"/>
        <charset val="1"/>
      </rPr>
      <t xml:space="preserve">Comments </t>
    </r>
    <r>
      <rPr>
        <sz val="10"/>
        <rFont val="Noto Sans CJK SC"/>
        <family val="2"/>
      </rPr>
      <t xml:space="preserve">的草稿（只指出问题，不提建议，遵守 </t>
    </r>
    <r>
      <rPr>
        <sz val="10"/>
        <rFont val="Arial"/>
        <family val="0"/>
        <charset val="1"/>
      </rPr>
      <t xml:space="preserve">Ground Rule G</t>
    </r>
    <r>
      <rPr>
        <sz val="10"/>
        <rFont val="Noto Sans CJK SC"/>
        <family val="2"/>
      </rPr>
      <t xml:space="preserve">）。</t>
    </r>
  </si>
  <si>
    <t xml:space="preserve">5_10_SquadClaims</t>
  </si>
  <si>
    <r>
      <rPr>
        <sz val="10"/>
        <rFont val="Noto Sans CJK SC"/>
        <family val="2"/>
      </rPr>
      <t xml:space="preserve">题 </t>
    </r>
    <r>
      <rPr>
        <sz val="10"/>
        <rFont val="Arial"/>
        <family val="0"/>
        <charset val="1"/>
      </rPr>
      <t xml:space="preserve">5</t>
    </r>
    <r>
      <rPr>
        <sz val="10"/>
        <rFont val="Noto Sans CJK SC"/>
        <family val="2"/>
      </rPr>
      <t xml:space="preserve">、题 </t>
    </r>
    <r>
      <rPr>
        <sz val="10"/>
        <rFont val="Arial"/>
        <family val="0"/>
        <charset val="1"/>
      </rPr>
      <t xml:space="preserve">10</t>
    </r>
    <r>
      <rPr>
        <sz val="10"/>
        <rFont val="Noto Sans CJK SC"/>
        <family val="2"/>
      </rPr>
      <t xml:space="preserve">：</t>
    </r>
    <r>
      <rPr>
        <sz val="10"/>
        <rFont val="Arial"/>
        <family val="0"/>
        <charset val="1"/>
      </rPr>
      <t xml:space="preserve">squad </t>
    </r>
    <r>
      <rPr>
        <sz val="10"/>
        <rFont val="Noto Sans CJK SC"/>
        <family val="2"/>
      </rPr>
      <t xml:space="preserve">在 </t>
    </r>
    <r>
      <rPr>
        <sz val="10"/>
        <rFont val="Arial"/>
        <family val="0"/>
        <charset val="1"/>
      </rPr>
      <t xml:space="preserve">pptx </t>
    </r>
    <r>
      <rPr>
        <sz val="10"/>
        <rFont val="Noto Sans CJK SC"/>
        <family val="2"/>
      </rPr>
      <t xml:space="preserve">中的每一项数字或声明，以及 </t>
    </r>
    <r>
      <rPr>
        <sz val="10"/>
        <rFont val="Arial"/>
        <family val="0"/>
        <charset val="1"/>
      </rPr>
      <t xml:space="preserve">AQV </t>
    </r>
    <r>
      <rPr>
        <sz val="10"/>
        <rFont val="Noto Sans CJK SC"/>
        <family val="2"/>
      </rPr>
      <t xml:space="preserve">的核对动作与所需数据。</t>
    </r>
  </si>
  <si>
    <t xml:space="preserve">2_11_Benchmarks</t>
  </si>
  <si>
    <r>
      <rPr>
        <sz val="10"/>
        <rFont val="Noto Sans CJK SC"/>
        <family val="2"/>
      </rPr>
      <t xml:space="preserve">题 </t>
    </r>
    <r>
      <rPr>
        <sz val="10"/>
        <rFont val="Arial"/>
        <family val="0"/>
        <charset val="1"/>
      </rPr>
      <t xml:space="preserve">2</t>
    </r>
    <r>
      <rPr>
        <sz val="10"/>
        <rFont val="Noto Sans CJK SC"/>
        <family val="2"/>
      </rPr>
      <t xml:space="preserve">、题 </t>
    </r>
    <r>
      <rPr>
        <sz val="10"/>
        <rFont val="Arial"/>
        <family val="0"/>
        <charset val="1"/>
      </rPr>
      <t xml:space="preserve">11</t>
    </r>
    <r>
      <rPr>
        <sz val="10"/>
        <rFont val="Noto Sans CJK SC"/>
        <family val="2"/>
      </rPr>
      <t xml:space="preserve">：已找到的内部 </t>
    </r>
    <r>
      <rPr>
        <sz val="10"/>
        <rFont val="Arial"/>
        <family val="0"/>
        <charset val="1"/>
      </rPr>
      <t xml:space="preserve">benchmark</t>
    </r>
    <r>
      <rPr>
        <sz val="10"/>
        <rFont val="Noto Sans CJK SC"/>
        <family val="2"/>
      </rPr>
      <t xml:space="preserve">（</t>
    </r>
    <r>
      <rPr>
        <sz val="10"/>
        <rFont val="Arial"/>
        <family val="0"/>
        <charset val="1"/>
      </rPr>
      <t xml:space="preserve">FI</t>
    </r>
    <r>
      <rPr>
        <sz val="10"/>
        <rFont val="Noto Sans CJK SC"/>
        <family val="2"/>
      </rPr>
      <t xml:space="preserve">、</t>
    </r>
    <r>
      <rPr>
        <sz val="10"/>
        <rFont val="Arial"/>
        <family val="0"/>
        <charset val="1"/>
      </rPr>
      <t xml:space="preserve">C&amp;G RAS</t>
    </r>
    <r>
      <rPr>
        <sz val="10"/>
        <rFont val="Noto Sans CJK SC"/>
        <family val="2"/>
      </rPr>
      <t xml:space="preserve">、</t>
    </r>
    <r>
      <rPr>
        <sz val="10"/>
        <rFont val="Arial"/>
        <family val="0"/>
        <charset val="1"/>
      </rPr>
      <t xml:space="preserve">Country Risk criteria</t>
    </r>
    <r>
      <rPr>
        <sz val="10"/>
        <rFont val="Noto Sans CJK SC"/>
        <family val="2"/>
      </rPr>
      <t xml:space="preserve">、借用 </t>
    </r>
    <r>
      <rPr>
        <sz val="10"/>
        <rFont val="Arial"/>
        <family val="0"/>
        <charset val="1"/>
      </rPr>
      <t xml:space="preserve">corporate </t>
    </r>
    <r>
      <rPr>
        <sz val="10"/>
        <rFont val="Noto Sans CJK SC"/>
        <family val="2"/>
      </rPr>
      <t xml:space="preserve">方法的 </t>
    </r>
    <r>
      <rPr>
        <sz val="10"/>
        <rFont val="Arial"/>
        <family val="0"/>
        <charset val="1"/>
      </rPr>
      <t xml:space="preserve">criteria</t>
    </r>
    <r>
      <rPr>
        <sz val="10"/>
        <rFont val="Noto Sans CJK SC"/>
        <family val="2"/>
      </rPr>
      <t xml:space="preserve">）与待做的外部 </t>
    </r>
    <r>
      <rPr>
        <sz val="10"/>
        <rFont val="Arial"/>
        <family val="0"/>
        <charset val="1"/>
      </rPr>
      <t xml:space="preserve">CRA benchmarking</t>
    </r>
    <r>
      <rPr>
        <sz val="10"/>
        <rFont val="Noto Sans CJK SC"/>
        <family val="2"/>
      </rPr>
      <t xml:space="preserve">。</t>
    </r>
  </si>
  <si>
    <t xml:space="preserve">Materials</t>
  </si>
  <si>
    <r>
      <rPr>
        <sz val="10"/>
        <rFont val="Noto Sans CJK SC"/>
        <family val="2"/>
      </rPr>
      <t xml:space="preserve">材料清单（</t>
    </r>
    <r>
      <rPr>
        <sz val="10"/>
        <rFont val="Arial"/>
        <family val="0"/>
        <charset val="1"/>
      </rPr>
      <t xml:space="preserve">A </t>
    </r>
    <r>
      <rPr>
        <sz val="10"/>
        <rFont val="Noto Sans CJK SC"/>
        <family val="2"/>
      </rPr>
      <t xml:space="preserve">向 </t>
    </r>
    <r>
      <rPr>
        <sz val="10"/>
        <rFont val="Arial"/>
        <family val="0"/>
        <charset val="1"/>
      </rPr>
      <t xml:space="preserve">squad </t>
    </r>
    <r>
      <rPr>
        <sz val="10"/>
        <rFont val="Noto Sans CJK SC"/>
        <family val="2"/>
      </rPr>
      <t xml:space="preserve">索取 </t>
    </r>
    <r>
      <rPr>
        <sz val="10"/>
        <rFont val="Arial"/>
        <family val="0"/>
        <charset val="1"/>
      </rPr>
      <t xml:space="preserve">/ B </t>
    </r>
    <r>
      <rPr>
        <sz val="10"/>
        <rFont val="Noto Sans CJK SC"/>
        <family val="2"/>
      </rPr>
      <t xml:space="preserve">自行取得 </t>
    </r>
    <r>
      <rPr>
        <sz val="10"/>
        <rFont val="Arial"/>
        <family val="0"/>
        <charset val="1"/>
      </rPr>
      <t xml:space="preserve">/ C AQV data request</t>
    </r>
    <r>
      <rPr>
        <sz val="10"/>
        <rFont val="Noto Sans CJK SC"/>
        <family val="2"/>
      </rPr>
      <t xml:space="preserve">）及状态。</t>
    </r>
  </si>
  <si>
    <t xml:space="preserve">Sources</t>
  </si>
  <si>
    <r>
      <rPr>
        <sz val="10"/>
        <rFont val="Noto Sans CJK SC"/>
        <family val="2"/>
      </rPr>
      <t xml:space="preserve">本 </t>
    </r>
    <r>
      <rPr>
        <sz val="10"/>
        <rFont val="Arial"/>
        <family val="0"/>
        <charset val="1"/>
      </rPr>
      <t xml:space="preserve">tracker </t>
    </r>
    <r>
      <rPr>
        <sz val="10"/>
        <rFont val="Noto Sans CJK SC"/>
        <family val="2"/>
      </rPr>
      <t xml:space="preserve">依据的文件及位置。</t>
    </r>
  </si>
  <si>
    <t xml:space="preserve">状态颜色</t>
  </si>
  <si>
    <r>
      <rPr>
        <sz val="10"/>
        <rFont val="Noto Sans CJK SC"/>
        <family val="2"/>
      </rPr>
      <t xml:space="preserve">绿 </t>
    </r>
    <r>
      <rPr>
        <sz val="10"/>
        <rFont val="Arial"/>
        <family val="0"/>
        <charset val="1"/>
      </rPr>
      <t xml:space="preserve">= </t>
    </r>
    <r>
      <rPr>
        <sz val="10"/>
        <rFont val="Noto Sans CJK SC"/>
        <family val="2"/>
      </rPr>
      <t xml:space="preserve">已有 </t>
    </r>
    <r>
      <rPr>
        <sz val="10"/>
        <rFont val="Arial"/>
        <family val="0"/>
        <charset val="1"/>
      </rPr>
      <t xml:space="preserve">/ </t>
    </r>
    <r>
      <rPr>
        <sz val="10"/>
        <rFont val="Noto Sans CJK SC"/>
        <family val="2"/>
      </rPr>
      <t xml:space="preserve">可推进；黄 </t>
    </r>
    <r>
      <rPr>
        <sz val="10"/>
        <rFont val="Arial"/>
        <family val="0"/>
        <charset val="1"/>
      </rPr>
      <t xml:space="preserve">= </t>
    </r>
    <r>
      <rPr>
        <sz val="10"/>
        <rFont val="Noto Sans CJK SC"/>
        <family val="2"/>
      </rPr>
      <t xml:space="preserve">部分 </t>
    </r>
    <r>
      <rPr>
        <sz val="10"/>
        <rFont val="Arial"/>
        <family val="0"/>
        <charset val="1"/>
      </rPr>
      <t xml:space="preserve">/ </t>
    </r>
    <r>
      <rPr>
        <sz val="10"/>
        <rFont val="Noto Sans CJK SC"/>
        <family val="2"/>
      </rPr>
      <t xml:space="preserve">初步；红 </t>
    </r>
    <r>
      <rPr>
        <sz val="10"/>
        <rFont val="Arial"/>
        <family val="0"/>
        <charset val="1"/>
      </rPr>
      <t xml:space="preserve">= </t>
    </r>
    <r>
      <rPr>
        <sz val="10"/>
        <rFont val="Noto Sans CJK SC"/>
        <family val="2"/>
      </rPr>
      <t xml:space="preserve">待材料 </t>
    </r>
    <r>
      <rPr>
        <sz val="10"/>
        <rFont val="Arial"/>
        <family val="0"/>
        <charset val="1"/>
      </rPr>
      <t xml:space="preserve">/ </t>
    </r>
    <r>
      <rPr>
        <sz val="10"/>
        <rFont val="Noto Sans CJK SC"/>
        <family val="2"/>
      </rPr>
      <t xml:space="preserve">未开始。</t>
    </r>
  </si>
  <si>
    <t xml:space="preserve">依据</t>
  </si>
  <si>
    <r>
      <rPr>
        <sz val="10"/>
        <rFont val="Noto Sans CJK SC"/>
        <family val="2"/>
      </rPr>
      <t xml:space="preserve">分析依据 </t>
    </r>
    <r>
      <rPr>
        <sz val="10"/>
        <rFont val="Arial"/>
        <family val="0"/>
        <charset val="1"/>
      </rPr>
      <t xml:space="preserve">Sept 2026 pptx</t>
    </r>
    <r>
      <rPr>
        <sz val="10"/>
        <rFont val="Noto Sans CJK SC"/>
        <family val="2"/>
      </rPr>
      <t xml:space="preserve">（</t>
    </r>
    <r>
      <rPr>
        <sz val="10"/>
        <rFont val="Arial"/>
        <family val="0"/>
        <charset val="1"/>
      </rPr>
      <t xml:space="preserve">Country_Risk_Simplification.pptx</t>
    </r>
    <r>
      <rPr>
        <sz val="10"/>
        <rFont val="Noto Sans CJK SC"/>
        <family val="2"/>
      </rPr>
      <t xml:space="preserve">）；</t>
    </r>
    <r>
      <rPr>
        <sz val="10"/>
        <rFont val="Arial"/>
        <family val="0"/>
        <charset val="1"/>
      </rPr>
      <t xml:space="preserve">July deck </t>
    </r>
    <r>
      <rPr>
        <sz val="10"/>
        <rFont val="Noto Sans CJK SC"/>
        <family val="2"/>
      </rPr>
      <t xml:space="preserve">的 </t>
    </r>
    <r>
      <rPr>
        <sz val="10"/>
        <rFont val="Arial"/>
        <family val="0"/>
        <charset val="1"/>
      </rPr>
      <t xml:space="preserve">±1 </t>
    </r>
    <r>
      <rPr>
        <sz val="10"/>
        <rFont val="Noto Sans CJK SC"/>
        <family val="2"/>
      </rPr>
      <t xml:space="preserve">表述视为旧版。</t>
    </r>
    <r>
      <rPr>
        <sz val="10"/>
        <rFont val="Arial"/>
        <family val="0"/>
        <charset val="1"/>
      </rPr>
      <t xml:space="preserve">para </t>
    </r>
    <r>
      <rPr>
        <sz val="10"/>
        <rFont val="Noto Sans CJK SC"/>
        <family val="2"/>
      </rPr>
      <t xml:space="preserve">编号一律指 </t>
    </r>
    <r>
      <rPr>
        <sz val="10"/>
        <rFont val="Arial"/>
        <family val="0"/>
        <charset val="1"/>
      </rPr>
      <t xml:space="preserve">Corporate Methodology 2024-01-07 published </t>
    </r>
    <r>
      <rPr>
        <sz val="10"/>
        <rFont val="Noto Sans CJK SC"/>
        <family val="2"/>
      </rPr>
      <t xml:space="preserve">版本。</t>
    </r>
  </si>
  <si>
    <r>
      <rPr>
        <b val="true"/>
        <sz val="13"/>
        <rFont val="Arial"/>
        <family val="0"/>
        <charset val="1"/>
      </rPr>
      <t xml:space="preserve">Overview — 12 </t>
    </r>
    <r>
      <rPr>
        <b val="true"/>
        <sz val="13"/>
        <rFont val="Noto Sans CJK SC"/>
        <family val="2"/>
      </rPr>
      <t xml:space="preserve">个分析题目</t>
    </r>
  </si>
  <si>
    <r>
      <rPr>
        <i val="true"/>
        <sz val="9"/>
        <color rgb="FF555555"/>
        <rFont val="Noto Sans CJK SC"/>
        <family val="2"/>
      </rPr>
      <t xml:space="preserve">分工依据 </t>
    </r>
    <r>
      <rPr>
        <i val="true"/>
        <sz val="9"/>
        <color rgb="FF555555"/>
        <rFont val="Arial"/>
        <family val="0"/>
        <charset val="1"/>
      </rPr>
      <t xml:space="preserve">Operational Guidelines Ground Rules </t>
    </r>
    <r>
      <rPr>
        <i val="true"/>
        <sz val="9"/>
        <color rgb="FF555555"/>
        <rFont val="Noto Sans CJK SC"/>
        <family val="2"/>
      </rPr>
      <t xml:space="preserve">与 </t>
    </r>
    <r>
      <rPr>
        <i val="true"/>
        <sz val="9"/>
        <color rgb="FF555555"/>
        <rFont val="Arial"/>
        <family val="0"/>
        <charset val="1"/>
      </rPr>
      <t xml:space="preserve">CP-49 / CP-64 CVR </t>
    </r>
    <r>
      <rPr>
        <i val="true"/>
        <sz val="9"/>
        <color rgb="FF555555"/>
        <rFont val="Noto Sans CJK SC"/>
        <family val="2"/>
      </rPr>
      <t xml:space="preserve">措辞；状态截至 </t>
    </r>
    <r>
      <rPr>
        <i val="true"/>
        <sz val="9"/>
        <color rgb="FF555555"/>
        <rFont val="Arial"/>
        <family val="0"/>
        <charset val="1"/>
      </rPr>
      <t xml:space="preserve">2026-09-23</t>
    </r>
    <r>
      <rPr>
        <i val="true"/>
        <sz val="9"/>
        <color rgb="FF555555"/>
        <rFont val="Noto Sans CJK SC"/>
        <family val="2"/>
      </rPr>
      <t xml:space="preserve">。</t>
    </r>
  </si>
  <si>
    <t xml:space="preserve">题</t>
  </si>
  <si>
    <t xml:space="preserve">题目</t>
  </si>
  <si>
    <t xml:space="preserve">Working doc dimension</t>
  </si>
  <si>
    <t xml:space="preserve">分工</t>
  </si>
  <si>
    <t xml:space="preserve">已有材料</t>
  </si>
  <si>
    <t xml:space="preserve">还需材料</t>
  </si>
  <si>
    <t xml:space="preserve">目前分析（要点）</t>
  </si>
  <si>
    <t xml:space="preserve">初步结论</t>
  </si>
  <si>
    <t xml:space="preserve">状态</t>
  </si>
  <si>
    <r>
      <rPr>
        <b val="true"/>
        <sz val="10"/>
        <color rgb="FFFFFFFF"/>
        <rFont val="Arial"/>
        <family val="0"/>
        <charset val="1"/>
      </rPr>
      <t xml:space="preserve">CVR </t>
    </r>
    <r>
      <rPr>
        <b val="true"/>
        <sz val="10"/>
        <color rgb="FFFFFFFF"/>
        <rFont val="Noto Sans CJK SC"/>
        <family val="2"/>
      </rPr>
      <t xml:space="preserve">落点</t>
    </r>
  </si>
  <si>
    <r>
      <rPr>
        <b val="true"/>
        <sz val="10"/>
        <color rgb="FFFFFFFF"/>
        <rFont val="Noto Sans CJK SC"/>
        <family val="2"/>
      </rPr>
      <t xml:space="preserve">详见 </t>
    </r>
    <r>
      <rPr>
        <b val="true"/>
        <sz val="10"/>
        <color rgb="FFFFFFFF"/>
        <rFont val="Arial"/>
        <family val="0"/>
        <charset val="1"/>
      </rPr>
      <t xml:space="preserve">sheet</t>
    </r>
  </si>
  <si>
    <t xml:space="preserve">1</t>
  </si>
  <si>
    <r>
      <rPr>
        <sz val="10"/>
        <rFont val="Arial"/>
        <family val="0"/>
        <charset val="1"/>
      </rPr>
      <t xml:space="preserve">Completeness</t>
    </r>
    <r>
      <rPr>
        <sz val="10"/>
        <rFont val="Noto Sans CJK SC"/>
        <family val="2"/>
      </rPr>
      <t xml:space="preserve">：现行 </t>
    </r>
    <r>
      <rPr>
        <sz val="10"/>
        <rFont val="Arial"/>
        <family val="0"/>
        <charset val="1"/>
      </rPr>
      <t xml:space="preserve">country risk </t>
    </r>
    <r>
      <rPr>
        <sz val="10"/>
        <rFont val="Noto Sans CJK SC"/>
        <family val="2"/>
      </rPr>
      <t xml:space="preserve">概念在 </t>
    </r>
    <r>
      <rPr>
        <sz val="10"/>
        <rFont val="Arial"/>
        <family val="0"/>
        <charset val="1"/>
      </rPr>
      <t xml:space="preserve">proposal </t>
    </r>
    <r>
      <rPr>
        <sz val="10"/>
        <rFont val="Noto Sans CJK SC"/>
        <family val="2"/>
      </rPr>
      <t xml:space="preserve">中的去向</t>
    </r>
  </si>
  <si>
    <t xml:space="preserve">Testing for completeness relative to the existing factor</t>
  </si>
  <si>
    <r>
      <rPr>
        <sz val="10"/>
        <rFont val="Arial"/>
        <family val="0"/>
        <charset val="1"/>
      </rPr>
      <t xml:space="preserve">AQV </t>
    </r>
    <r>
      <rPr>
        <sz val="10"/>
        <rFont val="Noto Sans CJK SC"/>
        <family val="2"/>
      </rPr>
      <t xml:space="preserve">自做</t>
    </r>
  </si>
  <si>
    <r>
      <rPr>
        <sz val="10"/>
        <rFont val="Arial"/>
        <family val="0"/>
        <charset val="1"/>
      </rPr>
      <t xml:space="preserve">Corporate Methodology 2024-01-07 paras 22–27</t>
    </r>
    <r>
      <rPr>
        <sz val="10"/>
        <rFont val="Noto Sans CJK SC"/>
        <family val="2"/>
      </rPr>
      <t xml:space="preserve">、</t>
    </r>
    <r>
      <rPr>
        <sz val="10"/>
        <rFont val="Arial"/>
        <family val="0"/>
        <charset val="1"/>
      </rPr>
      <t xml:space="preserve">40–51</t>
    </r>
    <r>
      <rPr>
        <sz val="10"/>
        <rFont val="Noto Sans CJK SC"/>
        <family val="2"/>
      </rPr>
      <t xml:space="preserve">、</t>
    </r>
    <r>
      <rPr>
        <sz val="10"/>
        <rFont val="Arial"/>
        <family val="0"/>
        <charset val="1"/>
      </rPr>
      <t xml:space="preserve">Table 1/2/6</t>
    </r>
    <r>
      <rPr>
        <sz val="10"/>
        <rFont val="Noto Sans CJK SC"/>
        <family val="2"/>
      </rPr>
      <t xml:space="preserve">、</t>
    </r>
    <r>
      <rPr>
        <sz val="10"/>
        <rFont val="Arial"/>
        <family val="0"/>
        <charset val="1"/>
      </rPr>
      <t xml:space="preserve">Appendix A Table 26</t>
    </r>
    <r>
      <rPr>
        <sz val="10"/>
        <rFont val="Noto Sans CJK SC"/>
        <family val="2"/>
      </rPr>
      <t xml:space="preserve">；</t>
    </r>
    <r>
      <rPr>
        <sz val="10"/>
        <rFont val="Arial"/>
        <family val="0"/>
        <charset val="1"/>
      </rPr>
      <t xml:space="preserve">Sept pptx 4 </t>
    </r>
    <r>
      <rPr>
        <sz val="10"/>
        <rFont val="Noto Sans CJK SC"/>
        <family val="2"/>
      </rPr>
      <t xml:space="preserve">张 </t>
    </r>
    <r>
      <rPr>
        <sz val="10"/>
        <rFont val="Arial"/>
        <family val="0"/>
        <charset val="1"/>
      </rPr>
      <t xml:space="preserve">slide</t>
    </r>
    <r>
      <rPr>
        <sz val="10"/>
        <rFont val="Noto Sans CJK SC"/>
        <family val="2"/>
      </rPr>
      <t xml:space="preserve">；</t>
    </r>
    <r>
      <rPr>
        <sz val="10"/>
        <rFont val="Arial"/>
        <family val="0"/>
        <charset val="1"/>
      </rPr>
      <t xml:space="preserve">July deck Slide 11–12</t>
    </r>
    <r>
      <rPr>
        <sz val="10"/>
        <rFont val="Noto Sans CJK SC"/>
        <family val="2"/>
      </rPr>
      <t xml:space="preserve">。</t>
    </r>
  </si>
  <si>
    <r>
      <rPr>
        <sz val="10"/>
        <rFont val="Arial"/>
        <family val="0"/>
        <charset val="1"/>
      </rPr>
      <t xml:space="preserve">Proposed criteria draft </t>
    </r>
    <r>
      <rPr>
        <sz val="10"/>
        <rFont val="Noto Sans CJK SC"/>
        <family val="2"/>
      </rPr>
      <t xml:space="preserve">或 </t>
    </r>
    <r>
      <rPr>
        <sz val="10"/>
        <rFont val="Arial"/>
        <family val="0"/>
        <charset val="1"/>
      </rPr>
      <t xml:space="preserve">redline</t>
    </r>
    <r>
      <rPr>
        <sz val="10"/>
        <rFont val="Noto Sans CJK SC"/>
        <family val="2"/>
      </rPr>
      <t xml:space="preserve">（确认 </t>
    </r>
    <r>
      <rPr>
        <sz val="10"/>
        <rFont val="Arial"/>
        <family val="0"/>
        <charset val="1"/>
      </rPr>
      <t xml:space="preserve">paras 45</t>
    </r>
    <r>
      <rPr>
        <sz val="10"/>
        <rFont val="Noto Sans CJK SC"/>
        <family val="2"/>
      </rPr>
      <t xml:space="preserve">、</t>
    </r>
    <r>
      <rPr>
        <sz val="10"/>
        <rFont val="Arial"/>
        <family val="0"/>
        <charset val="1"/>
      </rPr>
      <t xml:space="preserve">46</t>
    </r>
    <r>
      <rPr>
        <sz val="10"/>
        <rFont val="Noto Sans CJK SC"/>
        <family val="2"/>
      </rPr>
      <t xml:space="preserve">、</t>
    </r>
    <r>
      <rPr>
        <sz val="10"/>
        <rFont val="Arial"/>
        <family val="0"/>
        <charset val="1"/>
      </rPr>
      <t xml:space="preserve">47</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51 </t>
    </r>
    <r>
      <rPr>
        <sz val="10"/>
        <rFont val="Noto Sans CJK SC"/>
        <family val="2"/>
      </rPr>
      <t xml:space="preserve">的去留；</t>
    </r>
    <r>
      <rPr>
        <sz val="10"/>
        <rFont val="Arial"/>
        <family val="0"/>
        <charset val="1"/>
      </rPr>
      <t xml:space="preserve">integer rounding </t>
    </r>
    <r>
      <rPr>
        <sz val="10"/>
        <rFont val="Noto Sans CJK SC"/>
        <family val="2"/>
      </rPr>
      <t xml:space="preserve">规则；</t>
    </r>
    <r>
      <rPr>
        <sz val="10"/>
        <rFont val="Arial"/>
        <family val="0"/>
        <charset val="1"/>
      </rPr>
      <t xml:space="preserve">Table 6 </t>
    </r>
    <r>
      <rPr>
        <sz val="10"/>
        <rFont val="Noto Sans CJK SC"/>
        <family val="2"/>
      </rPr>
      <t xml:space="preserve">与 </t>
    </r>
    <r>
      <rPr>
        <sz val="10"/>
        <rFont val="Arial"/>
        <family val="0"/>
        <charset val="1"/>
      </rPr>
      <t xml:space="preserve">Table 26 </t>
    </r>
    <r>
      <rPr>
        <sz val="10"/>
        <rFont val="Noto Sans CJK SC"/>
        <family val="2"/>
      </rPr>
      <t xml:space="preserve">是否保留）。</t>
    </r>
  </si>
  <si>
    <r>
      <rPr>
        <sz val="10"/>
        <rFont val="Noto Sans CJK SC"/>
        <family val="2"/>
      </rPr>
      <t xml:space="preserve">已完成 </t>
    </r>
    <r>
      <rPr>
        <sz val="10"/>
        <rFont val="Arial"/>
        <family val="0"/>
        <charset val="1"/>
      </rPr>
      <t xml:space="preserve">18 </t>
    </r>
    <r>
      <rPr>
        <sz val="10"/>
        <rFont val="Noto Sans CJK SC"/>
        <family val="2"/>
      </rPr>
      <t xml:space="preserve">个概念的映射（见 </t>
    </r>
    <r>
      <rPr>
        <sz val="10"/>
        <rFont val="Arial"/>
        <family val="0"/>
        <charset val="1"/>
      </rPr>
      <t xml:space="preserve">1_Completeness</t>
    </r>
    <r>
      <rPr>
        <sz val="10"/>
        <rFont val="Noto Sans CJK SC"/>
        <family val="2"/>
      </rPr>
      <t xml:space="preserve">）。</t>
    </r>
    <r>
      <rPr>
        <sz val="10"/>
        <rFont val="Arial"/>
        <family val="0"/>
        <charset val="1"/>
      </rPr>
      <t xml:space="preserve">Retained</t>
    </r>
    <r>
      <rPr>
        <sz val="10"/>
        <rFont val="Noto Sans CJK SC"/>
        <family val="2"/>
      </rPr>
      <t xml:space="preserve">：定义、</t>
    </r>
    <r>
      <rPr>
        <sz val="10"/>
        <rFont val="Arial"/>
        <family val="0"/>
        <charset val="1"/>
      </rPr>
      <t xml:space="preserve">Table 1</t>
    </r>
    <r>
      <rPr>
        <sz val="10"/>
        <rFont val="Noto Sans CJK SC"/>
        <family val="2"/>
      </rPr>
      <t xml:space="preserve">、</t>
    </r>
    <r>
      <rPr>
        <sz val="10"/>
        <rFont val="Arial"/>
        <family val="0"/>
        <charset val="1"/>
      </rPr>
      <t xml:space="preserve">weighted average</t>
    </r>
    <r>
      <rPr>
        <sz val="10"/>
        <rFont val="Noto Sans CJK SC"/>
        <family val="2"/>
      </rPr>
      <t xml:space="preserve">、</t>
    </r>
    <r>
      <rPr>
        <sz val="10"/>
        <rFont val="Arial"/>
        <family val="0"/>
        <charset val="1"/>
      </rPr>
      <t xml:space="preserve">weak-link</t>
    </r>
    <r>
      <rPr>
        <sz val="10"/>
        <rFont val="Noto Sans CJK SC"/>
        <family val="2"/>
      </rPr>
      <t xml:space="preserve">（改为 </t>
    </r>
    <r>
      <rPr>
        <sz val="10"/>
        <rFont val="Arial"/>
        <family val="0"/>
        <charset val="1"/>
      </rPr>
      <t xml:space="preserve">"when more relevant"</t>
    </r>
    <r>
      <rPr>
        <sz val="10"/>
        <rFont val="Noto Sans CJK SC"/>
        <family val="2"/>
      </rPr>
      <t xml:space="preserve">）、</t>
    </r>
    <r>
      <rPr>
        <sz val="10"/>
        <rFont val="Arial"/>
        <family val="0"/>
        <charset val="1"/>
      </rPr>
      <t xml:space="preserve">region </t>
    </r>
    <r>
      <rPr>
        <sz val="10"/>
        <rFont val="Noto Sans CJK SC"/>
        <family val="2"/>
      </rPr>
      <t xml:space="preserve">输入、</t>
    </r>
    <r>
      <rPr>
        <sz val="10"/>
        <rFont val="Arial"/>
        <family val="0"/>
        <charset val="1"/>
      </rPr>
      <t xml:space="preserve">head office </t>
    </r>
    <r>
      <rPr>
        <sz val="10"/>
        <rFont val="Noto Sans CJK SC"/>
        <family val="2"/>
      </rPr>
      <t xml:space="preserve">作为 </t>
    </r>
    <r>
      <rPr>
        <sz val="10"/>
        <rFont val="Arial"/>
        <family val="0"/>
        <charset val="1"/>
      </rPr>
      <t xml:space="preserve">exposure </t>
    </r>
    <r>
      <rPr>
        <sz val="10"/>
        <rFont val="Noto Sans CJK SC"/>
        <family val="2"/>
      </rPr>
      <t xml:space="preserve">指标。</t>
    </r>
    <r>
      <rPr>
        <sz val="10"/>
        <rFont val="Arial"/>
        <family val="0"/>
        <charset val="1"/>
      </rPr>
      <t xml:space="preserve">Removed</t>
    </r>
    <r>
      <rPr>
        <sz val="10"/>
        <rFont val="Noto Sans CJK SC"/>
        <family val="2"/>
      </rPr>
      <t xml:space="preserve">：</t>
    </r>
    <r>
      <rPr>
        <sz val="10"/>
        <rFont val="Arial"/>
        <family val="0"/>
        <charset val="1"/>
      </rPr>
      <t xml:space="preserve">5% threshold</t>
    </r>
    <r>
      <rPr>
        <sz val="10"/>
        <rFont val="Noto Sans CJK SC"/>
        <family val="2"/>
      </rPr>
      <t xml:space="preserve">、</t>
    </r>
    <r>
      <rPr>
        <sz val="10"/>
        <rFont val="Arial"/>
        <family val="0"/>
        <charset val="1"/>
      </rPr>
      <t xml:space="preserve">5% </t>
    </r>
    <r>
      <rPr>
        <sz val="10"/>
        <rFont val="Noto Sans CJK SC"/>
        <family val="2"/>
      </rPr>
      <t xml:space="preserve">权重 </t>
    </r>
    <r>
      <rPr>
        <sz val="10"/>
        <rFont val="Arial"/>
        <family val="0"/>
        <charset val="1"/>
      </rPr>
      <t xml:space="preserve">rounding</t>
    </r>
    <r>
      <rPr>
        <sz val="10"/>
        <rFont val="Noto Sans CJK SC"/>
        <family val="2"/>
      </rPr>
      <t xml:space="preserve">、</t>
    </r>
    <r>
      <rPr>
        <sz val="10"/>
        <rFont val="Arial"/>
        <family val="0"/>
        <charset val="1"/>
      </rPr>
      <t xml:space="preserve">paras 48–51 diversity adjustment</t>
    </r>
    <r>
      <rPr>
        <sz val="10"/>
        <rFont val="Noto Sans CJK SC"/>
        <family val="2"/>
      </rPr>
      <t xml:space="preserve">、</t>
    </r>
    <r>
      <rPr>
        <sz val="10"/>
        <rFont val="Arial"/>
        <family val="0"/>
        <charset val="1"/>
      </rPr>
      <t xml:space="preserve">para 26 exception</t>
    </r>
    <r>
      <rPr>
        <sz val="10"/>
        <rFont val="Noto Sans CJK SC"/>
        <family val="2"/>
      </rPr>
      <t xml:space="preserve">（</t>
    </r>
    <r>
      <rPr>
        <sz val="10"/>
        <rFont val="Arial"/>
        <family val="0"/>
        <charset val="1"/>
      </rPr>
      <t xml:space="preserve">parked</t>
    </r>
    <r>
      <rPr>
        <sz val="10"/>
        <rFont val="Noto Sans CJK SC"/>
        <family val="2"/>
      </rPr>
      <t xml:space="preserve">）。</t>
    </r>
    <r>
      <rPr>
        <sz val="10"/>
        <rFont val="Arial"/>
        <family val="0"/>
        <charset val="1"/>
      </rPr>
      <t xml:space="preserve">New</t>
    </r>
    <r>
      <rPr>
        <sz val="10"/>
        <rFont val="Noto Sans CJK SC"/>
        <family val="2"/>
      </rPr>
      <t xml:space="preserve">：−</t>
    </r>
    <r>
      <rPr>
        <sz val="10"/>
        <rFont val="Arial"/>
        <family val="0"/>
        <charset val="1"/>
      </rPr>
      <t xml:space="preserve">1 notching</t>
    </r>
    <r>
      <rPr>
        <sz val="10"/>
        <rFont val="Noto Sans CJK SC"/>
        <family val="2"/>
      </rPr>
      <t xml:space="preserve">。</t>
    </r>
    <r>
      <rPr>
        <sz val="10"/>
        <rFont val="Arial"/>
        <family val="0"/>
        <charset val="1"/>
      </rPr>
      <t xml:space="preserve">Unclear</t>
    </r>
    <r>
      <rPr>
        <sz val="10"/>
        <rFont val="Noto Sans CJK SC"/>
        <family val="2"/>
      </rPr>
      <t xml:space="preserve">：</t>
    </r>
    <r>
      <rPr>
        <sz val="10"/>
        <rFont val="Arial"/>
        <family val="0"/>
        <charset val="1"/>
      </rPr>
      <t xml:space="preserve">para 45 exporter mitigation</t>
    </r>
    <r>
      <rPr>
        <sz val="10"/>
        <rFont val="Noto Sans CJK SC"/>
        <family val="2"/>
      </rPr>
      <t xml:space="preserve">、</t>
    </r>
    <r>
      <rPr>
        <sz val="10"/>
        <rFont val="Arial"/>
        <family val="0"/>
        <charset val="1"/>
      </rPr>
      <t xml:space="preserve">para 47 </t>
    </r>
    <r>
      <rPr>
        <sz val="10"/>
        <rFont val="Noto Sans CJK SC"/>
        <family val="2"/>
      </rPr>
      <t xml:space="preserve">估算、</t>
    </r>
    <r>
      <rPr>
        <sz val="10"/>
        <rFont val="Arial"/>
        <family val="0"/>
        <charset val="1"/>
      </rPr>
      <t xml:space="preserve">para 50 </t>
    </r>
    <r>
      <rPr>
        <sz val="10"/>
        <rFont val="Noto Sans CJK SC"/>
        <family val="2"/>
      </rPr>
      <t xml:space="preserve">的 </t>
    </r>
    <r>
      <rPr>
        <sz val="10"/>
        <rFont val="Arial"/>
        <family val="0"/>
        <charset val="1"/>
      </rPr>
      <t xml:space="preserve">75% rule</t>
    </r>
    <r>
      <rPr>
        <sz val="10"/>
        <rFont val="Noto Sans CJK SC"/>
        <family val="2"/>
      </rPr>
      <t xml:space="preserve">、</t>
    </r>
    <r>
      <rPr>
        <sz val="10"/>
        <rFont val="Arial"/>
        <family val="0"/>
        <charset val="1"/>
      </rPr>
      <t xml:space="preserve">para 51 de facto head office </t>
    </r>
    <r>
      <rPr>
        <sz val="10"/>
        <rFont val="Noto Sans CJK SC"/>
        <family val="2"/>
      </rPr>
      <t xml:space="preserve">定义、</t>
    </r>
    <r>
      <rPr>
        <sz val="10"/>
        <rFont val="Arial"/>
        <family val="0"/>
        <charset val="1"/>
      </rPr>
      <t xml:space="preserve">regional score </t>
    </r>
    <r>
      <rPr>
        <sz val="10"/>
        <rFont val="Noto Sans CJK SC"/>
        <family val="2"/>
      </rPr>
      <t xml:space="preserve">的 </t>
    </r>
    <r>
      <rPr>
        <sz val="10"/>
        <rFont val="Arial"/>
        <family val="0"/>
        <charset val="1"/>
      </rPr>
      <t xml:space="preserve">GDP </t>
    </r>
    <r>
      <rPr>
        <sz val="10"/>
        <rFont val="Noto Sans CJK SC"/>
        <family val="2"/>
      </rPr>
      <t xml:space="preserve">加权计算、</t>
    </r>
    <r>
      <rPr>
        <sz val="10"/>
        <rFont val="Arial"/>
        <family val="0"/>
        <charset val="1"/>
      </rPr>
      <t xml:space="preserve">integer rounding</t>
    </r>
    <r>
      <rPr>
        <sz val="10"/>
        <rFont val="Noto Sans CJK SC"/>
        <family val="2"/>
      </rPr>
      <t xml:space="preserve">。</t>
    </r>
  </si>
  <si>
    <r>
      <rPr>
        <sz val="10"/>
        <rFont val="Arial"/>
        <family val="0"/>
        <charset val="1"/>
      </rPr>
      <t xml:space="preserve">Proposal </t>
    </r>
    <r>
      <rPr>
        <sz val="10"/>
        <rFont val="Noto Sans CJK SC"/>
        <family val="2"/>
      </rPr>
      <t xml:space="preserve">没有遗漏 </t>
    </r>
    <r>
      <rPr>
        <sz val="10"/>
        <rFont val="Arial"/>
        <family val="0"/>
        <charset val="1"/>
      </rPr>
      <t xml:space="preserve">country risk </t>
    </r>
    <r>
      <rPr>
        <sz val="10"/>
        <rFont val="Noto Sans CJK SC"/>
        <family val="2"/>
      </rPr>
      <t xml:space="preserve">的核心概念（定义、</t>
    </r>
    <r>
      <rPr>
        <sz val="10"/>
        <rFont val="Arial"/>
        <family val="0"/>
        <charset val="1"/>
      </rPr>
      <t xml:space="preserve">scale</t>
    </r>
    <r>
      <rPr>
        <sz val="10"/>
        <rFont val="Noto Sans CJK SC"/>
        <family val="2"/>
      </rPr>
      <t xml:space="preserve">、</t>
    </r>
    <r>
      <rPr>
        <sz val="10"/>
        <rFont val="Arial"/>
        <family val="0"/>
        <charset val="1"/>
      </rPr>
      <t xml:space="preserve">CICRA </t>
    </r>
    <r>
      <rPr>
        <sz val="10"/>
        <rFont val="Noto Sans CJK SC"/>
        <family val="2"/>
      </rPr>
      <t xml:space="preserve">合成、多国加权）。被删除的全是 </t>
    </r>
    <r>
      <rPr>
        <sz val="10"/>
        <rFont val="Arial"/>
        <family val="0"/>
        <charset val="1"/>
      </rPr>
      <t xml:space="preserve">upward </t>
    </r>
    <r>
      <rPr>
        <sz val="10"/>
        <rFont val="Noto Sans CJK SC"/>
        <family val="2"/>
      </rPr>
      <t xml:space="preserve">调整机制（</t>
    </r>
    <r>
      <rPr>
        <sz val="10"/>
        <rFont val="Arial"/>
        <family val="0"/>
        <charset val="1"/>
      </rPr>
      <t xml:space="preserve">para 26</t>
    </r>
    <r>
      <rPr>
        <sz val="10"/>
        <rFont val="Noto Sans CJK SC"/>
        <family val="2"/>
      </rPr>
      <t xml:space="preserve">、</t>
    </r>
    <r>
      <rPr>
        <sz val="10"/>
        <rFont val="Arial"/>
        <family val="0"/>
        <charset val="1"/>
      </rPr>
      <t xml:space="preserve">para 49</t>
    </r>
    <r>
      <rPr>
        <sz val="10"/>
        <rFont val="Noto Sans CJK SC"/>
        <family val="2"/>
      </rPr>
      <t xml:space="preserve">、可能 </t>
    </r>
    <r>
      <rPr>
        <sz val="10"/>
        <rFont val="Arial"/>
        <family val="0"/>
        <charset val="1"/>
      </rPr>
      <t xml:space="preserve">para 45</t>
    </r>
    <r>
      <rPr>
        <sz val="10"/>
        <rFont val="Noto Sans CJK SC"/>
        <family val="2"/>
      </rPr>
      <t xml:space="preserve">），新增的是 </t>
    </r>
    <r>
      <rPr>
        <sz val="10"/>
        <rFont val="Arial"/>
        <family val="0"/>
        <charset val="1"/>
      </rPr>
      <t xml:space="preserve">downward </t>
    </r>
    <r>
      <rPr>
        <sz val="10"/>
        <rFont val="Noto Sans CJK SC"/>
        <family val="2"/>
      </rPr>
      <t xml:space="preserve">调整机制；净方向单边向下，需在 </t>
    </r>
    <r>
      <rPr>
        <sz val="10"/>
        <rFont val="Arial"/>
        <family val="0"/>
        <charset val="1"/>
      </rPr>
      <t xml:space="preserve">localization</t>
    </r>
    <r>
      <rPr>
        <sz val="10"/>
        <rFont val="Noto Sans CJK SC"/>
        <family val="2"/>
      </rPr>
      <t xml:space="preserve">（题 </t>
    </r>
    <r>
      <rPr>
        <sz val="10"/>
        <rFont val="Arial"/>
        <family val="0"/>
        <charset val="1"/>
      </rPr>
      <t xml:space="preserve">3</t>
    </r>
    <r>
      <rPr>
        <sz val="10"/>
        <rFont val="Noto Sans CJK SC"/>
        <family val="2"/>
      </rPr>
      <t xml:space="preserve">）与 </t>
    </r>
    <r>
      <rPr>
        <sz val="10"/>
        <rFont val="Arial"/>
        <family val="0"/>
        <charset val="1"/>
      </rPr>
      <t xml:space="preserve">AJ</t>
    </r>
    <r>
      <rPr>
        <sz val="10"/>
        <rFont val="Noto Sans CJK SC"/>
        <family val="2"/>
      </rPr>
      <t xml:space="preserve">（题 </t>
    </r>
    <r>
      <rPr>
        <sz val="10"/>
        <rFont val="Arial"/>
        <family val="0"/>
        <charset val="1"/>
      </rPr>
      <t xml:space="preserve">8</t>
    </r>
    <r>
      <rPr>
        <sz val="10"/>
        <rFont val="Noto Sans CJK SC"/>
        <family val="2"/>
      </rPr>
      <t xml:space="preserve">）中说明可接受性。</t>
    </r>
    <r>
      <rPr>
        <sz val="10"/>
        <rFont val="Arial"/>
        <family val="0"/>
        <charset val="1"/>
      </rPr>
      <t xml:space="preserve">6 </t>
    </r>
    <r>
      <rPr>
        <sz val="10"/>
        <rFont val="Noto Sans CJK SC"/>
        <family val="2"/>
      </rPr>
      <t xml:space="preserve">个概念去向不明，需 </t>
    </r>
    <r>
      <rPr>
        <sz val="10"/>
        <rFont val="Arial"/>
        <family val="0"/>
        <charset val="1"/>
      </rPr>
      <t xml:space="preserve">draft </t>
    </r>
    <r>
      <rPr>
        <sz val="10"/>
        <rFont val="Noto Sans CJK SC"/>
        <family val="2"/>
      </rPr>
      <t xml:space="preserve">文本确认。</t>
    </r>
  </si>
  <si>
    <r>
      <rPr>
        <sz val="10"/>
        <rFont val="Noto Sans CJK SC"/>
        <family val="2"/>
      </rPr>
      <t xml:space="preserve">部分完成（待 </t>
    </r>
    <r>
      <rPr>
        <sz val="10"/>
        <rFont val="Arial"/>
        <family val="0"/>
        <charset val="1"/>
      </rPr>
      <t xml:space="preserve">draft </t>
    </r>
    <r>
      <rPr>
        <sz val="10"/>
        <rFont val="Noto Sans CJK SC"/>
        <family val="2"/>
      </rPr>
      <t xml:space="preserve">确认 </t>
    </r>
    <r>
      <rPr>
        <sz val="10"/>
        <rFont val="Arial"/>
        <family val="0"/>
        <charset val="1"/>
      </rPr>
      <t xml:space="preserve">unclear </t>
    </r>
    <r>
      <rPr>
        <sz val="10"/>
        <rFont val="Noto Sans CJK SC"/>
        <family val="2"/>
      </rPr>
      <t xml:space="preserve">项）</t>
    </r>
  </si>
  <si>
    <r>
      <rPr>
        <sz val="10"/>
        <rFont val="Arial"/>
        <family val="0"/>
        <charset val="1"/>
      </rPr>
      <t xml:space="preserve">Test rationale </t>
    </r>
    <r>
      <rPr>
        <sz val="10"/>
        <rFont val="Noto Sans CJK SC"/>
        <family val="2"/>
      </rPr>
      <t xml:space="preserve">的 </t>
    </r>
    <r>
      <rPr>
        <sz val="10"/>
        <rFont val="Arial"/>
        <family val="0"/>
        <charset val="1"/>
      </rPr>
      <t xml:space="preserve">Simplification Rationale </t>
    </r>
    <r>
      <rPr>
        <sz val="10"/>
        <rFont val="Noto Sans CJK SC"/>
        <family val="2"/>
      </rPr>
      <t xml:space="preserve">小节；</t>
    </r>
    <r>
      <rPr>
        <sz val="10"/>
        <rFont val="Arial"/>
        <family val="0"/>
        <charset val="1"/>
      </rPr>
      <t xml:space="preserve">Section 2 "Validity of the key rating factors" </t>
    </r>
    <r>
      <rPr>
        <sz val="10"/>
        <rFont val="Noto Sans CJK SC"/>
        <family val="2"/>
      </rPr>
      <t xml:space="preserve">行</t>
    </r>
  </si>
  <si>
    <t xml:space="preserve">2</t>
  </si>
  <si>
    <t xml:space="preserve">Conceptual soundness &amp; relevance vs market trends</t>
  </si>
  <si>
    <t xml:space="preserve">Relevance and conceptual soundness of the factor vis-à-vis market trends</t>
  </si>
  <si>
    <r>
      <rPr>
        <sz val="10"/>
        <rFont val="Arial"/>
        <family val="0"/>
        <charset val="1"/>
      </rPr>
      <t xml:space="preserve">AQV </t>
    </r>
    <r>
      <rPr>
        <sz val="10"/>
        <rFont val="Noto Sans CJK SC"/>
        <family val="2"/>
      </rPr>
      <t xml:space="preserve">自做；</t>
    </r>
    <r>
      <rPr>
        <sz val="10"/>
        <rFont val="Arial"/>
        <family val="0"/>
        <charset val="1"/>
      </rPr>
      <t xml:space="preserve">squad </t>
    </r>
    <r>
      <rPr>
        <sz val="10"/>
        <rFont val="Noto Sans CJK SC"/>
        <family val="2"/>
      </rPr>
      <t xml:space="preserve">的 </t>
    </r>
    <r>
      <rPr>
        <sz val="10"/>
        <rFont val="Arial"/>
        <family val="0"/>
        <charset val="1"/>
      </rPr>
      <t xml:space="preserve">rationale</t>
    </r>
    <r>
      <rPr>
        <sz val="10"/>
        <rFont val="Noto Sans CJK SC"/>
        <family val="2"/>
      </rPr>
      <t xml:space="preserve">（</t>
    </r>
    <r>
      <rPr>
        <sz val="10"/>
        <rFont val="Arial"/>
        <family val="0"/>
        <charset val="1"/>
      </rPr>
      <t xml:space="preserve">asymmetry</t>
    </r>
    <r>
      <rPr>
        <sz val="10"/>
        <rFont val="Noto Sans CJK SC"/>
        <family val="2"/>
      </rPr>
      <t xml:space="preserve">、</t>
    </r>
    <r>
      <rPr>
        <sz val="10"/>
        <rFont val="Arial"/>
        <family val="0"/>
        <charset val="1"/>
      </rPr>
      <t xml:space="preserve">S/S/D double counting</t>
    </r>
    <r>
      <rPr>
        <sz val="10"/>
        <rFont val="Noto Sans CJK SC"/>
        <family val="2"/>
      </rPr>
      <t xml:space="preserve">、</t>
    </r>
    <r>
      <rPr>
        <sz val="10"/>
        <rFont val="Arial"/>
        <family val="0"/>
        <charset val="1"/>
      </rPr>
      <t xml:space="preserve">alternatives </t>
    </r>
    <r>
      <rPr>
        <sz val="10"/>
        <rFont val="Noto Sans CJK SC"/>
        <family val="2"/>
      </rPr>
      <t xml:space="preserve">被否理由）是被审对象</t>
    </r>
  </si>
  <si>
    <r>
      <rPr>
        <sz val="10"/>
        <rFont val="Arial"/>
        <family val="0"/>
        <charset val="1"/>
      </rPr>
      <t xml:space="preserve">Sept pptx</t>
    </r>
    <r>
      <rPr>
        <sz val="10"/>
        <rFont val="Noto Sans CJK SC"/>
        <family val="2"/>
      </rPr>
      <t xml:space="preserve">（</t>
    </r>
    <r>
      <rPr>
        <sz val="10"/>
        <rFont val="Arial"/>
        <family val="0"/>
        <charset val="1"/>
      </rPr>
      <t xml:space="preserve">squad </t>
    </r>
    <r>
      <rPr>
        <sz val="10"/>
        <rFont val="Noto Sans CJK SC"/>
        <family val="2"/>
      </rPr>
      <t xml:space="preserve">的 </t>
    </r>
    <r>
      <rPr>
        <sz val="10"/>
        <rFont val="Arial"/>
        <family val="0"/>
        <charset val="1"/>
      </rPr>
      <t xml:space="preserve">rationale</t>
    </r>
    <r>
      <rPr>
        <sz val="10"/>
        <rFont val="Noto Sans CJK SC"/>
        <family val="2"/>
      </rPr>
      <t xml:space="preserve">：</t>
    </r>
    <r>
      <rPr>
        <sz val="10"/>
        <rFont val="Arial"/>
        <family val="0"/>
        <charset val="1"/>
      </rPr>
      <t xml:space="preserve">country risk asymmetric</t>
    </r>
    <r>
      <rPr>
        <sz val="10"/>
        <rFont val="Noto Sans CJK SC"/>
        <family val="2"/>
      </rPr>
      <t xml:space="preserve">；</t>
    </r>
    <r>
      <rPr>
        <sz val="10"/>
        <rFont val="Arial"/>
        <family val="0"/>
        <charset val="1"/>
      </rPr>
      <t xml:space="preserve">+1 </t>
    </r>
    <r>
      <rPr>
        <sz val="10"/>
        <rFont val="Noto Sans CJK SC"/>
        <family val="2"/>
      </rPr>
      <t xml:space="preserve">与 </t>
    </r>
    <r>
      <rPr>
        <sz val="10"/>
        <rFont val="Arial"/>
        <family val="0"/>
        <charset val="1"/>
      </rPr>
      <t xml:space="preserve">S/S/D double counting</t>
    </r>
    <r>
      <rPr>
        <sz val="10"/>
        <rFont val="Noto Sans CJK SC"/>
        <family val="2"/>
      </rPr>
      <t xml:space="preserve">；</t>
    </r>
    <r>
      <rPr>
        <sz val="10"/>
        <rFont val="Arial"/>
        <family val="0"/>
        <charset val="1"/>
      </rPr>
      <t xml:space="preserve">CICRA 4 </t>
    </r>
    <r>
      <rPr>
        <sz val="10"/>
        <rFont val="Noto Sans CJK SC"/>
        <family val="2"/>
      </rPr>
      <t xml:space="preserve">扩展被否）；</t>
    </r>
    <r>
      <rPr>
        <sz val="10"/>
        <rFont val="Arial"/>
        <family val="0"/>
        <charset val="1"/>
      </rPr>
      <t xml:space="preserve">Corporate Methodology paras 217–219</t>
    </r>
    <r>
      <rPr>
        <sz val="10"/>
        <rFont val="Noto Sans CJK SC"/>
        <family val="2"/>
      </rPr>
      <t xml:space="preserve">（</t>
    </r>
    <r>
      <rPr>
        <sz val="10"/>
        <rFont val="Arial"/>
        <family val="0"/>
        <charset val="1"/>
      </rPr>
      <t xml:space="preserve">S/S/D geographic diversity</t>
    </r>
    <r>
      <rPr>
        <sz val="10"/>
        <rFont val="Noto Sans CJK SC"/>
        <family val="2"/>
      </rPr>
      <t xml:space="preserve">）；</t>
    </r>
    <r>
      <rPr>
        <sz val="10"/>
        <rFont val="Arial"/>
        <family val="0"/>
        <charset val="1"/>
      </rPr>
      <t xml:space="preserve">Country Risk Assessment criteria para 16</t>
    </r>
    <r>
      <rPr>
        <sz val="10"/>
        <rFont val="Noto Sans CJK SC"/>
        <family val="2"/>
      </rPr>
      <t xml:space="preserve">；</t>
    </r>
    <r>
      <rPr>
        <sz val="10"/>
        <rFont val="Arial"/>
        <family val="0"/>
        <charset val="1"/>
      </rPr>
      <t xml:space="preserve">C&amp;G RAS paras 55–58</t>
    </r>
    <r>
      <rPr>
        <sz val="10"/>
        <rFont val="Noto Sans CJK SC"/>
        <family val="2"/>
      </rPr>
      <t xml:space="preserve">；</t>
    </r>
    <r>
      <rPr>
        <sz val="10"/>
        <rFont val="Arial"/>
        <family val="0"/>
        <charset val="1"/>
      </rPr>
      <t xml:space="preserve">FI methodology paras 34–36</t>
    </r>
    <r>
      <rPr>
        <sz val="10"/>
        <rFont val="Noto Sans CJK SC"/>
        <family val="2"/>
      </rPr>
      <t xml:space="preserve">。</t>
    </r>
  </si>
  <si>
    <r>
      <rPr>
        <sz val="10"/>
        <rFont val="Arial"/>
        <family val="0"/>
        <charset val="1"/>
      </rPr>
      <t xml:space="preserve">Squad </t>
    </r>
    <r>
      <rPr>
        <sz val="10"/>
        <rFont val="Noto Sans CJK SC"/>
        <family val="2"/>
      </rPr>
      <t xml:space="preserve">的 </t>
    </r>
    <r>
      <rPr>
        <sz val="10"/>
        <rFont val="Arial"/>
        <family val="0"/>
        <charset val="1"/>
      </rPr>
      <t xml:space="preserve">alternatives-considered </t>
    </r>
    <r>
      <rPr>
        <sz val="10"/>
        <rFont val="Noto Sans CJK SC"/>
        <family val="2"/>
      </rPr>
      <t xml:space="preserve">记录（</t>
    </r>
    <r>
      <rPr>
        <sz val="10"/>
        <rFont val="Arial"/>
        <family val="0"/>
        <charset val="1"/>
      </rPr>
      <t xml:space="preserve">10% threshold</t>
    </r>
    <r>
      <rPr>
        <sz val="10"/>
        <rFont val="Noto Sans CJK SC"/>
        <family val="2"/>
      </rPr>
      <t xml:space="preserve">、</t>
    </r>
    <r>
      <rPr>
        <sz val="10"/>
        <rFont val="Arial"/>
        <family val="0"/>
        <charset val="1"/>
      </rPr>
      <t xml:space="preserve">"CICRA 1–3 </t>
    </r>
    <r>
      <rPr>
        <sz val="10"/>
        <rFont val="Noto Sans CJK SC"/>
        <family val="2"/>
      </rPr>
      <t xml:space="preserve">不做 </t>
    </r>
    <r>
      <rPr>
        <sz val="10"/>
        <rFont val="Arial"/>
        <family val="0"/>
        <charset val="1"/>
      </rPr>
      <t xml:space="preserve">country risk analysis"</t>
    </r>
    <r>
      <rPr>
        <sz val="10"/>
        <rFont val="Noto Sans CJK SC"/>
        <family val="2"/>
      </rPr>
      <t xml:space="preserve">、</t>
    </r>
    <r>
      <rPr>
        <sz val="10"/>
        <rFont val="Arial"/>
        <family val="0"/>
        <charset val="1"/>
      </rPr>
      <t xml:space="preserve">+1 </t>
    </r>
    <r>
      <rPr>
        <sz val="10"/>
        <rFont val="Noto Sans CJK SC"/>
        <family val="2"/>
      </rPr>
      <t xml:space="preserve">被否决的讨论纪要）；过去 </t>
    </r>
    <r>
      <rPr>
        <sz val="10"/>
        <rFont val="Arial"/>
        <family val="0"/>
        <charset val="1"/>
      </rPr>
      <t xml:space="preserve">13 </t>
    </r>
    <r>
      <rPr>
        <sz val="10"/>
        <rFont val="Noto Sans CJK SC"/>
        <family val="2"/>
      </rPr>
      <t xml:space="preserve">年 </t>
    </r>
    <r>
      <rPr>
        <sz val="10"/>
        <rFont val="Arial"/>
        <family val="0"/>
        <charset val="1"/>
      </rPr>
      <t xml:space="preserve">country risk </t>
    </r>
    <r>
      <rPr>
        <sz val="10"/>
        <rFont val="Noto Sans CJK SC"/>
        <family val="2"/>
      </rPr>
      <t xml:space="preserve">引发 </t>
    </r>
    <r>
      <rPr>
        <sz val="10"/>
        <rFont val="Arial"/>
        <family val="0"/>
        <charset val="1"/>
      </rPr>
      <t xml:space="preserve">rating </t>
    </r>
    <r>
      <rPr>
        <sz val="10"/>
        <rFont val="Noto Sans CJK SC"/>
        <family val="2"/>
      </rPr>
      <t xml:space="preserve">变动的案例（</t>
    </r>
    <r>
      <rPr>
        <sz val="10"/>
        <rFont val="Arial"/>
        <family val="0"/>
        <charset val="1"/>
      </rPr>
      <t xml:space="preserve">C.19</t>
    </r>
    <r>
      <rPr>
        <sz val="10"/>
        <rFont val="Noto Sans CJK SC"/>
        <family val="2"/>
      </rPr>
      <t xml:space="preserve">）。</t>
    </r>
  </si>
  <si>
    <r>
      <rPr>
        <sz val="10"/>
        <rFont val="Noto Sans CJK SC"/>
        <family val="2"/>
      </rPr>
      <t xml:space="preserve">（</t>
    </r>
    <r>
      <rPr>
        <sz val="10"/>
        <rFont val="Arial"/>
        <family val="0"/>
        <charset val="1"/>
      </rPr>
      <t xml:space="preserve">i</t>
    </r>
    <r>
      <rPr>
        <sz val="10"/>
        <rFont val="Noto Sans CJK SC"/>
        <family val="2"/>
      </rPr>
      <t xml:space="preserve">）</t>
    </r>
    <r>
      <rPr>
        <sz val="10"/>
        <rFont val="Arial"/>
        <family val="0"/>
        <charset val="1"/>
      </rPr>
      <t xml:space="preserve">Weighted average </t>
    </r>
    <r>
      <rPr>
        <sz val="10"/>
        <rFont val="Noto Sans CJK SC"/>
        <family val="2"/>
      </rPr>
      <t xml:space="preserve">为主与 </t>
    </r>
    <r>
      <rPr>
        <sz val="10"/>
        <rFont val="Arial"/>
        <family val="0"/>
        <charset val="1"/>
      </rPr>
      <t xml:space="preserve">Country Risk criteria para 16</t>
    </r>
    <r>
      <rPr>
        <sz val="10"/>
        <rFont val="Noto Sans CJK SC"/>
        <family val="2"/>
      </rPr>
      <t xml:space="preserve">（</t>
    </r>
    <r>
      <rPr>
        <sz val="10"/>
        <rFont val="Arial"/>
        <family val="0"/>
        <charset val="1"/>
      </rPr>
      <t xml:space="preserve">"typically weighted-average"</t>
    </r>
    <r>
      <rPr>
        <sz val="10"/>
        <rFont val="Noto Sans CJK SC"/>
        <family val="2"/>
      </rPr>
      <t xml:space="preserve">）及 </t>
    </r>
    <r>
      <rPr>
        <sz val="10"/>
        <rFont val="Arial"/>
        <family val="0"/>
        <charset val="1"/>
      </rPr>
      <t xml:space="preserve">C&amp;G RAS </t>
    </r>
    <r>
      <rPr>
        <sz val="10"/>
        <rFont val="Noto Sans CJK SC"/>
        <family val="2"/>
      </rPr>
      <t xml:space="preserve">对 </t>
    </r>
    <r>
      <rPr>
        <sz val="10"/>
        <rFont val="Arial"/>
        <family val="0"/>
        <charset val="1"/>
      </rPr>
      <t xml:space="preserve">corporates </t>
    </r>
    <r>
      <rPr>
        <sz val="10"/>
        <rFont val="Noto Sans CJK SC"/>
        <family val="2"/>
      </rPr>
      <t xml:space="preserve">的 </t>
    </r>
    <r>
      <rPr>
        <sz val="10"/>
        <rFont val="Arial"/>
        <family val="0"/>
        <charset val="1"/>
      </rPr>
      <t xml:space="preserve">blended approach </t>
    </r>
    <r>
      <rPr>
        <sz val="10"/>
        <rFont val="Noto Sans CJK SC"/>
        <family val="2"/>
      </rPr>
      <t xml:space="preserve">一致。（</t>
    </r>
    <r>
      <rPr>
        <sz val="10"/>
        <rFont val="Arial"/>
        <family val="0"/>
        <charset val="1"/>
      </rPr>
      <t xml:space="preserve">ii</t>
    </r>
    <r>
      <rPr>
        <sz val="10"/>
        <rFont val="Noto Sans CJK SC"/>
        <family val="2"/>
      </rPr>
      <t xml:space="preserve">）</t>
    </r>
    <r>
      <rPr>
        <sz val="10"/>
        <rFont val="Arial"/>
        <family val="0"/>
        <charset val="1"/>
      </rPr>
      <t xml:space="preserve">Negative-only notching </t>
    </r>
    <r>
      <rPr>
        <sz val="10"/>
        <rFont val="Noto Sans CJK SC"/>
        <family val="2"/>
      </rPr>
      <t xml:space="preserve">与 </t>
    </r>
    <r>
      <rPr>
        <sz val="10"/>
        <rFont val="Arial"/>
        <family val="0"/>
        <charset val="1"/>
      </rPr>
      <t xml:space="preserve">squad </t>
    </r>
    <r>
      <rPr>
        <sz val="10"/>
        <rFont val="Noto Sans CJK SC"/>
        <family val="2"/>
      </rPr>
      <t xml:space="preserve">自述的 </t>
    </r>
    <r>
      <rPr>
        <sz val="10"/>
        <rFont val="Arial"/>
        <family val="0"/>
        <charset val="1"/>
      </rPr>
      <t xml:space="preserve">"country risk is asymmetric" </t>
    </r>
    <r>
      <rPr>
        <sz val="10"/>
        <rFont val="Noto Sans CJK SC"/>
        <family val="2"/>
      </rPr>
      <t xml:space="preserve">原则自洽：有利环境中性、不利环境约束。（</t>
    </r>
    <r>
      <rPr>
        <sz val="10"/>
        <rFont val="Arial"/>
        <family val="0"/>
        <charset val="1"/>
      </rPr>
      <t xml:space="preserve">iii</t>
    </r>
    <r>
      <rPr>
        <sz val="10"/>
        <rFont val="Noto Sans CJK SC"/>
        <family val="2"/>
      </rPr>
      <t xml:space="preserve">）</t>
    </r>
    <r>
      <rPr>
        <sz val="10"/>
        <rFont val="Arial"/>
        <family val="0"/>
        <charset val="1"/>
      </rPr>
      <t xml:space="preserve">+1 </t>
    </r>
    <r>
      <rPr>
        <sz val="10"/>
        <rFont val="Noto Sans CJK SC"/>
        <family val="2"/>
      </rPr>
      <t xml:space="preserve">被否的 </t>
    </r>
    <r>
      <rPr>
        <sz val="10"/>
        <rFont val="Arial"/>
        <family val="0"/>
        <charset val="1"/>
      </rPr>
      <t xml:space="preserve">"double counting with S/S/D" </t>
    </r>
    <r>
      <rPr>
        <sz val="10"/>
        <rFont val="Noto Sans CJK SC"/>
        <family val="2"/>
      </rPr>
      <t xml:space="preserve">理由：</t>
    </r>
    <r>
      <rPr>
        <sz val="10"/>
        <rFont val="Arial"/>
        <family val="0"/>
        <charset val="1"/>
      </rPr>
      <t xml:space="preserve">S/S/D paras 217–219 </t>
    </r>
    <r>
      <rPr>
        <sz val="10"/>
        <rFont val="Noto Sans CJK SC"/>
        <family val="2"/>
      </rPr>
      <t xml:space="preserve">讨论的是需求与运营的地理集中度，不是 </t>
    </r>
    <r>
      <rPr>
        <sz val="10"/>
        <rFont val="Arial"/>
        <family val="0"/>
        <charset val="1"/>
      </rPr>
      <t xml:space="preserve">country risk level </t>
    </r>
    <r>
      <rPr>
        <sz val="10"/>
        <rFont val="Noto Sans CJK SC"/>
        <family val="2"/>
      </rPr>
      <t xml:space="preserve">的分散；两者概念相近但不相同，该理由需要 </t>
    </r>
    <r>
      <rPr>
        <sz val="10"/>
        <rFont val="Arial"/>
        <family val="0"/>
        <charset val="1"/>
      </rPr>
      <t xml:space="preserve">draft </t>
    </r>
    <r>
      <rPr>
        <sz val="10"/>
        <rFont val="Noto Sans CJK SC"/>
        <family val="2"/>
      </rPr>
      <t xml:space="preserve">中 </t>
    </r>
    <r>
      <rPr>
        <sz val="10"/>
        <rFont val="Arial"/>
        <family val="0"/>
        <charset val="1"/>
      </rPr>
      <t xml:space="preserve">S/S/D </t>
    </r>
    <r>
      <rPr>
        <sz val="10"/>
        <rFont val="Noto Sans CJK SC"/>
        <family val="2"/>
      </rPr>
      <t xml:space="preserve">的措辞支持。（</t>
    </r>
    <r>
      <rPr>
        <sz val="10"/>
        <rFont val="Arial"/>
        <family val="0"/>
        <charset val="1"/>
      </rPr>
      <t xml:space="preserve">iv</t>
    </r>
    <r>
      <rPr>
        <sz val="10"/>
        <rFont val="Noto Sans CJK SC"/>
        <family val="2"/>
      </rPr>
      <t xml:space="preserve">）取消 </t>
    </r>
    <r>
      <rPr>
        <sz val="10"/>
        <rFont val="Arial"/>
        <family val="0"/>
        <charset val="1"/>
      </rPr>
      <t xml:space="preserve">5% threshold </t>
    </r>
    <r>
      <rPr>
        <sz val="10"/>
        <rFont val="Noto Sans CJK SC"/>
        <family val="2"/>
      </rPr>
      <t xml:space="preserve">的方向与 </t>
    </r>
    <r>
      <rPr>
        <sz val="10"/>
        <rFont val="Arial"/>
        <family val="0"/>
        <charset val="1"/>
      </rPr>
      <t xml:space="preserve">supply-chain concentration </t>
    </r>
    <r>
      <rPr>
        <sz val="10"/>
        <rFont val="Noto Sans CJK SC"/>
        <family val="2"/>
      </rPr>
      <t xml:space="preserve">的市场趋势一致（</t>
    </r>
    <r>
      <rPr>
        <sz val="10"/>
        <rFont val="Arial"/>
        <family val="0"/>
        <charset val="1"/>
      </rPr>
      <t xml:space="preserve">COVID</t>
    </r>
    <r>
      <rPr>
        <sz val="10"/>
        <rFont val="Noto Sans CJK SC"/>
        <family val="2"/>
      </rPr>
      <t xml:space="preserve">、</t>
    </r>
    <r>
      <rPr>
        <sz val="10"/>
        <rFont val="Arial"/>
        <family val="0"/>
        <charset val="1"/>
      </rPr>
      <t xml:space="preserve">China+1</t>
    </r>
    <r>
      <rPr>
        <sz val="10"/>
        <rFont val="Noto Sans CJK SC"/>
        <family val="2"/>
      </rPr>
      <t xml:space="preserve">、</t>
    </r>
    <r>
      <rPr>
        <sz val="10"/>
        <rFont val="Arial"/>
        <family val="0"/>
        <charset val="1"/>
      </rPr>
      <t xml:space="preserve">tariffs</t>
    </r>
    <r>
      <rPr>
        <sz val="10"/>
        <rFont val="Noto Sans CJK SC"/>
        <family val="2"/>
      </rPr>
      <t xml:space="preserve">、</t>
    </r>
    <r>
      <rPr>
        <sz val="10"/>
        <rFont val="Arial"/>
        <family val="0"/>
        <charset val="1"/>
      </rPr>
      <t xml:space="preserve">Russia sanctions</t>
    </r>
    <r>
      <rPr>
        <sz val="10"/>
        <rFont val="Noto Sans CJK SC"/>
        <family val="2"/>
      </rPr>
      <t xml:space="preserve">），但与 </t>
    </r>
    <r>
      <rPr>
        <sz val="10"/>
        <rFont val="Arial"/>
        <family val="0"/>
        <charset val="1"/>
      </rPr>
      <t xml:space="preserve">FI methodology para 36 </t>
    </r>
    <r>
      <rPr>
        <sz val="10"/>
        <rFont val="Noto Sans CJK SC"/>
        <family val="2"/>
      </rPr>
      <t xml:space="preserve">仍保留的 </t>
    </r>
    <r>
      <rPr>
        <sz val="10"/>
        <rFont val="Arial"/>
        <family val="0"/>
        <charset val="1"/>
      </rPr>
      <t xml:space="preserve">5% threshold </t>
    </r>
    <r>
      <rPr>
        <sz val="10"/>
        <rFont val="Noto Sans CJK SC"/>
        <family val="2"/>
      </rPr>
      <t xml:space="preserve">与 </t>
    </r>
    <r>
      <rPr>
        <sz val="10"/>
        <rFont val="Arial"/>
        <family val="0"/>
        <charset val="1"/>
      </rPr>
      <t xml:space="preserve">5% rounding </t>
    </r>
    <r>
      <rPr>
        <sz val="10"/>
        <rFont val="Noto Sans CJK SC"/>
        <family val="2"/>
      </rPr>
      <t xml:space="preserve">分叉。（</t>
    </r>
    <r>
      <rPr>
        <sz val="10"/>
        <rFont val="Arial"/>
        <family val="0"/>
        <charset val="1"/>
      </rPr>
      <t xml:space="preserve">v</t>
    </r>
    <r>
      <rPr>
        <sz val="10"/>
        <rFont val="Noto Sans CJK SC"/>
        <family val="2"/>
      </rPr>
      <t xml:space="preserve">）</t>
    </r>
    <r>
      <rPr>
        <sz val="10"/>
        <rFont val="Arial"/>
        <family val="0"/>
        <charset val="1"/>
      </rPr>
      <t xml:space="preserve">C&amp;G RAS para 58 </t>
    </r>
    <r>
      <rPr>
        <sz val="10"/>
        <rFont val="Noto Sans CJK SC"/>
        <family val="2"/>
      </rPr>
      <t xml:space="preserve">的 −</t>
    </r>
    <r>
      <rPr>
        <sz val="10"/>
        <rFont val="Arial"/>
        <family val="0"/>
        <charset val="1"/>
      </rPr>
      <t xml:space="preserve">1 </t>
    </r>
    <r>
      <rPr>
        <sz val="10"/>
        <rFont val="Noto Sans CJK SC"/>
        <family val="2"/>
      </rPr>
      <t xml:space="preserve">调整有 </t>
    </r>
    <r>
      <rPr>
        <sz val="10"/>
        <rFont val="Arial"/>
        <family val="0"/>
        <charset val="1"/>
      </rPr>
      <t xml:space="preserve">defined conditions</t>
    </r>
    <r>
      <rPr>
        <sz val="10"/>
        <rFont val="Noto Sans CJK SC"/>
        <family val="2"/>
      </rPr>
      <t xml:space="preserve">（</t>
    </r>
    <r>
      <rPr>
        <sz val="10"/>
        <rFont val="Arial"/>
        <family val="0"/>
        <charset val="1"/>
      </rPr>
      <t xml:space="preserve">head office</t>
    </r>
    <r>
      <rPr>
        <sz val="10"/>
        <rFont val="Noto Sans CJK SC"/>
        <family val="2"/>
      </rPr>
      <t xml:space="preserve">、</t>
    </r>
    <r>
      <rPr>
        <sz val="10"/>
        <rFont val="Arial"/>
        <family val="0"/>
        <charset val="1"/>
      </rPr>
      <t xml:space="preserve">funding</t>
    </r>
    <r>
      <rPr>
        <sz val="10"/>
        <rFont val="Noto Sans CJK SC"/>
        <family val="2"/>
      </rPr>
      <t xml:space="preserve">），是 −</t>
    </r>
    <r>
      <rPr>
        <sz val="10"/>
        <rFont val="Arial"/>
        <family val="0"/>
        <charset val="1"/>
      </rPr>
      <t xml:space="preserve">1 notching </t>
    </r>
    <r>
      <rPr>
        <sz val="10"/>
        <rFont val="Noto Sans CJK SC"/>
        <family val="2"/>
      </rPr>
      <t xml:space="preserve">的内部先例。</t>
    </r>
  </si>
  <si>
    <r>
      <rPr>
        <sz val="10"/>
        <rFont val="Noto Sans CJK SC"/>
        <family val="2"/>
      </rPr>
      <t xml:space="preserve">方法整体 </t>
    </r>
    <r>
      <rPr>
        <sz val="10"/>
        <rFont val="Arial"/>
        <family val="0"/>
        <charset val="1"/>
      </rPr>
      <t xml:space="preserve">conceptually sound</t>
    </r>
    <r>
      <rPr>
        <sz val="10"/>
        <rFont val="Noto Sans CJK SC"/>
        <family val="2"/>
      </rPr>
      <t xml:space="preserve">，且比现行更简单。两处需要 </t>
    </r>
    <r>
      <rPr>
        <sz val="10"/>
        <rFont val="Arial"/>
        <family val="0"/>
        <charset val="1"/>
      </rPr>
      <t xml:space="preserve">squad </t>
    </r>
    <r>
      <rPr>
        <sz val="10"/>
        <rFont val="Noto Sans CJK SC"/>
        <family val="2"/>
      </rPr>
      <t xml:space="preserve">进一步支持：</t>
    </r>
    <r>
      <rPr>
        <sz val="10"/>
        <rFont val="Arial"/>
        <family val="0"/>
        <charset val="1"/>
      </rPr>
      <t xml:space="preserve">+1 </t>
    </r>
    <r>
      <rPr>
        <sz val="10"/>
        <rFont val="Noto Sans CJK SC"/>
        <family val="2"/>
      </rPr>
      <t xml:space="preserve">被否的 </t>
    </r>
    <r>
      <rPr>
        <sz val="10"/>
        <rFont val="Arial"/>
        <family val="0"/>
        <charset val="1"/>
      </rPr>
      <t xml:space="preserve">double-counting </t>
    </r>
    <r>
      <rPr>
        <sz val="10"/>
        <rFont val="Noto Sans CJK SC"/>
        <family val="2"/>
      </rPr>
      <t xml:space="preserve">论证；与 </t>
    </r>
    <r>
      <rPr>
        <sz val="10"/>
        <rFont val="Arial"/>
        <family val="0"/>
        <charset val="1"/>
      </rPr>
      <t xml:space="preserve">FI methodology </t>
    </r>
    <r>
      <rPr>
        <sz val="10"/>
        <rFont val="Noto Sans CJK SC"/>
        <family val="2"/>
      </rPr>
      <t xml:space="preserve">保留 </t>
    </r>
    <r>
      <rPr>
        <sz val="10"/>
        <rFont val="Arial"/>
        <family val="0"/>
        <charset val="1"/>
      </rPr>
      <t xml:space="preserve">5% threshold </t>
    </r>
    <r>
      <rPr>
        <sz val="10"/>
        <rFont val="Noto Sans CJK SC"/>
        <family val="2"/>
      </rPr>
      <t xml:space="preserve">的分叉为何可接受。</t>
    </r>
  </si>
  <si>
    <r>
      <rPr>
        <sz val="10"/>
        <rFont val="Noto Sans CJK SC"/>
        <family val="2"/>
      </rPr>
      <t xml:space="preserve">初步（待 </t>
    </r>
    <r>
      <rPr>
        <sz val="10"/>
        <rFont val="Arial"/>
        <family val="0"/>
        <charset val="1"/>
      </rPr>
      <t xml:space="preserve">alternatives </t>
    </r>
    <r>
      <rPr>
        <sz val="10"/>
        <rFont val="Noto Sans CJK SC"/>
        <family val="2"/>
      </rPr>
      <t xml:space="preserve">记录与 </t>
    </r>
    <r>
      <rPr>
        <sz val="10"/>
        <rFont val="Arial"/>
        <family val="0"/>
        <charset val="1"/>
      </rPr>
      <t xml:space="preserve">draft</t>
    </r>
    <r>
      <rPr>
        <sz val="10"/>
        <rFont val="Noto Sans CJK SC"/>
        <family val="2"/>
      </rPr>
      <t xml:space="preserve">）</t>
    </r>
  </si>
  <si>
    <r>
      <rPr>
        <sz val="10"/>
        <rFont val="Arial"/>
        <family val="0"/>
        <charset val="1"/>
      </rPr>
      <t xml:space="preserve">Test rationale </t>
    </r>
    <r>
      <rPr>
        <sz val="10"/>
        <rFont val="Noto Sans CJK SC"/>
        <family val="2"/>
      </rPr>
      <t xml:space="preserve">的 </t>
    </r>
    <r>
      <rPr>
        <sz val="10"/>
        <rFont val="Arial"/>
        <family val="0"/>
        <charset val="1"/>
      </rPr>
      <t xml:space="preserve">Proposed Approach Rationale </t>
    </r>
    <r>
      <rPr>
        <sz val="10"/>
        <rFont val="Noto Sans CJK SC"/>
        <family val="2"/>
      </rPr>
      <t xml:space="preserve">小节；</t>
    </r>
    <r>
      <rPr>
        <sz val="10"/>
        <rFont val="Arial"/>
        <family val="0"/>
        <charset val="1"/>
      </rPr>
      <t xml:space="preserve">Section 2 "Validity of the key rating factors" </t>
    </r>
    <r>
      <rPr>
        <sz val="10"/>
        <rFont val="Noto Sans CJK SC"/>
        <family val="2"/>
      </rPr>
      <t xml:space="preserve">与 </t>
    </r>
    <r>
      <rPr>
        <sz val="10"/>
        <rFont val="Arial"/>
        <family val="0"/>
        <charset val="1"/>
      </rPr>
      <t xml:space="preserve">"Relevant benchmarks" </t>
    </r>
    <r>
      <rPr>
        <sz val="10"/>
        <rFont val="Noto Sans CJK SC"/>
        <family val="2"/>
      </rPr>
      <t xml:space="preserve">行</t>
    </r>
  </si>
  <si>
    <t xml:space="preserve">3</t>
  </si>
  <si>
    <r>
      <rPr>
        <sz val="10"/>
        <rFont val="Arial"/>
        <family val="0"/>
        <charset val="1"/>
      </rPr>
      <t xml:space="preserve">Localization</t>
    </r>
    <r>
      <rPr>
        <sz val="10"/>
        <rFont val="Noto Sans CJK SC"/>
        <family val="2"/>
      </rPr>
      <t xml:space="preserve">：</t>
    </r>
    <r>
      <rPr>
        <sz val="10"/>
        <rFont val="Arial"/>
        <family val="0"/>
        <charset val="1"/>
      </rPr>
      <t xml:space="preserve">framework </t>
    </r>
    <r>
      <rPr>
        <sz val="10"/>
        <rFont val="Noto Sans CJK SC"/>
        <family val="2"/>
      </rPr>
      <t xml:space="preserve">位置、</t>
    </r>
    <r>
      <rPr>
        <sz val="10"/>
        <rFont val="Arial"/>
        <family val="0"/>
        <charset val="1"/>
      </rPr>
      <t xml:space="preserve">power given up / regained</t>
    </r>
    <r>
      <rPr>
        <sz val="10"/>
        <rFont val="Noto Sans CJK SC"/>
        <family val="2"/>
      </rPr>
      <t xml:space="preserve">、下游引用</t>
    </r>
  </si>
  <si>
    <t xml:space="preserve">Its localization in the framework (proposed vs existing) — are we giving up power? For what in return?</t>
  </si>
  <si>
    <r>
      <rPr>
        <sz val="10"/>
        <rFont val="Arial"/>
        <family val="0"/>
        <charset val="1"/>
      </rPr>
      <t xml:space="preserve">Corporate Methodology paras 24–26</t>
    </r>
    <r>
      <rPr>
        <sz val="10"/>
        <rFont val="Noto Sans CJK SC"/>
        <family val="2"/>
      </rPr>
      <t xml:space="preserve">、</t>
    </r>
    <r>
      <rPr>
        <sz val="10"/>
        <rFont val="Arial"/>
        <family val="0"/>
        <charset val="1"/>
      </rPr>
      <t xml:space="preserve">30</t>
    </r>
    <r>
      <rPr>
        <sz val="10"/>
        <rFont val="Noto Sans CJK SC"/>
        <family val="2"/>
      </rPr>
      <t xml:space="preserve">、</t>
    </r>
    <r>
      <rPr>
        <sz val="10"/>
        <rFont val="Arial"/>
        <family val="0"/>
        <charset val="1"/>
      </rPr>
      <t xml:space="preserve">87</t>
    </r>
    <r>
      <rPr>
        <sz val="10"/>
        <rFont val="Noto Sans CJK SC"/>
        <family val="2"/>
      </rPr>
      <t xml:space="preserve">、</t>
    </r>
    <r>
      <rPr>
        <sz val="10"/>
        <rFont val="Arial"/>
        <family val="0"/>
        <charset val="1"/>
      </rPr>
      <t xml:space="preserve">123</t>
    </r>
    <r>
      <rPr>
        <sz val="10"/>
        <rFont val="Noto Sans CJK SC"/>
        <family val="2"/>
      </rPr>
      <t xml:space="preserve">、</t>
    </r>
    <r>
      <rPr>
        <sz val="10"/>
        <rFont val="Arial"/>
        <family val="0"/>
        <charset val="1"/>
      </rPr>
      <t xml:space="preserve">134</t>
    </r>
    <r>
      <rPr>
        <sz val="10"/>
        <rFont val="Noto Sans CJK SC"/>
        <family val="2"/>
      </rPr>
      <t xml:space="preserve">、</t>
    </r>
    <r>
      <rPr>
        <sz val="10"/>
        <rFont val="Arial"/>
        <family val="0"/>
        <charset val="1"/>
      </rPr>
      <t xml:space="preserve">Table 1/2/3</t>
    </r>
    <r>
      <rPr>
        <sz val="10"/>
        <rFont val="Noto Sans CJK SC"/>
        <family val="2"/>
      </rPr>
      <t xml:space="preserve">；</t>
    </r>
    <r>
      <rPr>
        <sz val="10"/>
        <rFont val="Arial"/>
        <family val="0"/>
        <charset val="1"/>
      </rPr>
      <t xml:space="preserve">SSCM</t>
    </r>
    <r>
      <rPr>
        <sz val="10"/>
        <rFont val="Noto Sans CJK SC"/>
        <family val="2"/>
      </rPr>
      <t xml:space="preserve">（</t>
    </r>
    <r>
      <rPr>
        <sz val="10"/>
        <rFont val="Arial"/>
        <family val="0"/>
        <charset val="1"/>
      </rPr>
      <t xml:space="preserve">oil &amp; gas</t>
    </r>
    <r>
      <rPr>
        <sz val="10"/>
        <rFont val="Noto Sans CJK SC"/>
        <family val="2"/>
      </rPr>
      <t xml:space="preserve">、</t>
    </r>
    <r>
      <rPr>
        <sz val="10"/>
        <rFont val="Arial"/>
        <family val="0"/>
        <charset val="1"/>
      </rPr>
      <t xml:space="preserve">oilfield services</t>
    </r>
    <r>
      <rPr>
        <sz val="10"/>
        <rFont val="Noto Sans CJK SC"/>
        <family val="2"/>
      </rPr>
      <t xml:space="preserve">、</t>
    </r>
    <r>
      <rPr>
        <sz val="10"/>
        <rFont val="Arial"/>
        <family val="0"/>
        <charset val="1"/>
      </rPr>
      <t xml:space="preserve">regulated utilities</t>
    </r>
    <r>
      <rPr>
        <sz val="10"/>
        <rFont val="Noto Sans CJK SC"/>
        <family val="2"/>
      </rPr>
      <t xml:space="preserve">、</t>
    </r>
    <r>
      <rPr>
        <sz val="10"/>
        <rFont val="Arial"/>
        <family val="0"/>
        <charset val="1"/>
      </rPr>
      <t xml:space="preserve">unregulated power</t>
    </r>
    <r>
      <rPr>
        <sz val="10"/>
        <rFont val="Noto Sans CJK SC"/>
        <family val="2"/>
      </rPr>
      <t xml:space="preserve">、</t>
    </r>
    <r>
      <rPr>
        <sz val="10"/>
        <rFont val="Arial"/>
        <family val="0"/>
        <charset val="1"/>
      </rPr>
      <t xml:space="preserve">contract drilling</t>
    </r>
    <r>
      <rPr>
        <sz val="10"/>
        <rFont val="Noto Sans CJK SC"/>
        <family val="2"/>
      </rPr>
      <t xml:space="preserve">、</t>
    </r>
    <r>
      <rPr>
        <sz val="10"/>
        <rFont val="Arial"/>
        <family val="0"/>
        <charset val="1"/>
      </rPr>
      <t xml:space="preserve">mining</t>
    </r>
    <r>
      <rPr>
        <sz val="10"/>
        <rFont val="Noto Sans CJK SC"/>
        <family val="2"/>
      </rPr>
      <t xml:space="preserve">）；</t>
    </r>
    <r>
      <rPr>
        <sz val="10"/>
        <rFont val="Arial"/>
        <family val="0"/>
        <charset val="1"/>
      </rPr>
      <t xml:space="preserve">IHC</t>
    </r>
    <r>
      <rPr>
        <sz val="10"/>
        <rFont val="Noto Sans CJK SC"/>
        <family val="2"/>
      </rPr>
      <t xml:space="preserve">、</t>
    </r>
    <r>
      <rPr>
        <sz val="10"/>
        <rFont val="Arial"/>
        <family val="0"/>
        <charset val="1"/>
      </rPr>
      <t xml:space="preserve">Commodities Trading</t>
    </r>
    <r>
      <rPr>
        <sz val="10"/>
        <rFont val="Noto Sans CJK SC"/>
        <family val="2"/>
      </rPr>
      <t xml:space="preserve">、</t>
    </r>
    <r>
      <rPr>
        <sz val="10"/>
        <rFont val="Arial"/>
        <family val="0"/>
        <charset val="1"/>
      </rPr>
      <t xml:space="preserve">Project Developers</t>
    </r>
    <r>
      <rPr>
        <sz val="10"/>
        <rFont val="Noto Sans CJK SC"/>
        <family val="2"/>
      </rPr>
      <t xml:space="preserve">、</t>
    </r>
    <r>
      <rPr>
        <sz val="10"/>
        <rFont val="Arial"/>
        <family val="0"/>
        <charset val="1"/>
      </rPr>
      <t xml:space="preserve">Real Estate KCF criteria</t>
    </r>
    <r>
      <rPr>
        <sz val="10"/>
        <rFont val="Noto Sans CJK SC"/>
        <family val="2"/>
      </rPr>
      <t xml:space="preserve">；</t>
    </r>
    <r>
      <rPr>
        <sz val="10"/>
        <rFont val="Arial"/>
        <family val="0"/>
        <charset val="1"/>
      </rPr>
      <t xml:space="preserve">FI methodology</t>
    </r>
    <r>
      <rPr>
        <sz val="10"/>
        <rFont val="Noto Sans CJK SC"/>
        <family val="2"/>
      </rPr>
      <t xml:space="preserve">；</t>
    </r>
    <r>
      <rPr>
        <sz val="10"/>
        <rFont val="Arial"/>
        <family val="0"/>
        <charset val="1"/>
      </rPr>
      <t xml:space="preserve">C&amp;G RAS</t>
    </r>
    <r>
      <rPr>
        <sz val="10"/>
        <rFont val="Noto Sans CJK SC"/>
        <family val="2"/>
      </rPr>
      <t xml:space="preserve">；</t>
    </r>
    <r>
      <rPr>
        <sz val="10"/>
        <rFont val="Arial"/>
        <family val="0"/>
        <charset val="1"/>
      </rPr>
      <t xml:space="preserve">Country Risk Assessment criteria</t>
    </r>
    <r>
      <rPr>
        <sz val="10"/>
        <rFont val="Noto Sans CJK SC"/>
        <family val="2"/>
      </rPr>
      <t xml:space="preserve">。</t>
    </r>
  </si>
  <si>
    <r>
      <rPr>
        <sz val="10"/>
        <rFont val="Arial"/>
        <family val="0"/>
        <charset val="1"/>
      </rPr>
      <t xml:space="preserve">CP-72 </t>
    </r>
    <r>
      <rPr>
        <sz val="10"/>
        <rFont val="Noto Sans CJK SC"/>
        <family val="2"/>
      </rPr>
      <t xml:space="preserve">其他 </t>
    </r>
    <r>
      <rPr>
        <sz val="10"/>
        <rFont val="Arial"/>
        <family val="0"/>
        <charset val="1"/>
      </rPr>
      <t xml:space="preserve">change </t>
    </r>
    <r>
      <rPr>
        <sz val="10"/>
        <rFont val="Noto Sans CJK SC"/>
        <family val="2"/>
      </rPr>
      <t xml:space="preserve">的定稿（</t>
    </r>
    <r>
      <rPr>
        <sz val="10"/>
        <rFont val="Arial"/>
        <family val="0"/>
        <charset val="1"/>
      </rPr>
      <t xml:space="preserve">#2 profitability / SER </t>
    </r>
    <r>
      <rPr>
        <sz val="10"/>
        <rFont val="Noto Sans CJK SC"/>
        <family val="2"/>
      </rPr>
      <t xml:space="preserve">是否删除 </t>
    </r>
    <r>
      <rPr>
        <sz val="10"/>
        <rFont val="Arial"/>
        <family val="0"/>
        <charset val="1"/>
      </rPr>
      <t xml:space="preserve">para 87</t>
    </r>
    <r>
      <rPr>
        <sz val="10"/>
        <rFont val="Noto Sans CJK SC"/>
        <family val="2"/>
      </rPr>
      <t xml:space="preserve">；</t>
    </r>
    <r>
      <rPr>
        <sz val="10"/>
        <rFont val="Arial"/>
        <family val="0"/>
        <charset val="1"/>
      </rPr>
      <t xml:space="preserve">#5 volatility tables</t>
    </r>
    <r>
      <rPr>
        <sz val="10"/>
        <rFont val="Noto Sans CJK SC"/>
        <family val="2"/>
      </rPr>
      <t xml:space="preserve">；</t>
    </r>
    <r>
      <rPr>
        <sz val="10"/>
        <rFont val="Arial"/>
        <family val="0"/>
        <charset val="1"/>
      </rPr>
      <t xml:space="preserve">#7 BRP </t>
    </r>
    <r>
      <rPr>
        <sz val="10"/>
        <rFont val="Noto Sans CJK SC"/>
        <family val="2"/>
      </rPr>
      <t xml:space="preserve">权重；</t>
    </r>
    <r>
      <rPr>
        <sz val="10"/>
        <rFont val="Arial"/>
        <family val="0"/>
        <charset val="1"/>
      </rPr>
      <t xml:space="preserve">#8/#11 diversification </t>
    </r>
    <r>
      <rPr>
        <sz val="10"/>
        <rFont val="Noto Sans CJK SC"/>
        <family val="2"/>
      </rPr>
      <t xml:space="preserve">归属）；</t>
    </r>
    <r>
      <rPr>
        <sz val="10"/>
        <rFont val="Arial"/>
        <family val="0"/>
        <charset val="1"/>
      </rPr>
      <t xml:space="preserve">SSCM </t>
    </r>
    <r>
      <rPr>
        <sz val="10"/>
        <rFont val="Noto Sans CJK SC"/>
        <family val="2"/>
      </rPr>
      <t xml:space="preserve">是否随 </t>
    </r>
    <r>
      <rPr>
        <sz val="10"/>
        <rFont val="Arial"/>
        <family val="0"/>
        <charset val="1"/>
      </rPr>
      <t xml:space="preserve">CP-72 </t>
    </r>
    <r>
      <rPr>
        <sz val="10"/>
        <rFont val="Noto Sans CJK SC"/>
        <family val="2"/>
      </rPr>
      <t xml:space="preserve">修订；</t>
    </r>
    <r>
      <rPr>
        <sz val="10"/>
        <rFont val="Arial"/>
        <family val="0"/>
        <charset val="1"/>
      </rPr>
      <t xml:space="preserve">CCST </t>
    </r>
    <r>
      <rPr>
        <sz val="10"/>
        <rFont val="Noto Sans CJK SC"/>
        <family val="2"/>
      </rPr>
      <t xml:space="preserve">模块规格。</t>
    </r>
  </si>
  <si>
    <r>
      <rPr>
        <sz val="10"/>
        <rFont val="Noto Sans CJK SC"/>
        <family val="2"/>
      </rPr>
      <t xml:space="preserve">已完成 </t>
    </r>
    <r>
      <rPr>
        <sz val="10"/>
        <rFont val="Arial"/>
        <family val="0"/>
        <charset val="1"/>
      </rPr>
      <t xml:space="preserve">13 </t>
    </r>
    <r>
      <rPr>
        <sz val="10"/>
        <rFont val="Noto Sans CJK SC"/>
        <family val="2"/>
      </rPr>
      <t xml:space="preserve">处引用的 </t>
    </r>
    <r>
      <rPr>
        <sz val="10"/>
        <rFont val="Arial"/>
        <family val="0"/>
        <charset val="1"/>
      </rPr>
      <t xml:space="preserve">sweep</t>
    </r>
    <r>
      <rPr>
        <sz val="10"/>
        <rFont val="Noto Sans CJK SC"/>
        <family val="2"/>
      </rPr>
      <t xml:space="preserve">（见 </t>
    </r>
    <r>
      <rPr>
        <sz val="10"/>
        <rFont val="Arial"/>
        <family val="0"/>
        <charset val="1"/>
      </rPr>
      <t xml:space="preserve">3_Downstream</t>
    </r>
    <r>
      <rPr>
        <sz val="10"/>
        <rFont val="Noto Sans CJK SC"/>
        <family val="2"/>
      </rPr>
      <t xml:space="preserve">）。</t>
    </r>
    <r>
      <rPr>
        <sz val="10"/>
        <rFont val="Arial"/>
        <family val="0"/>
        <charset val="1"/>
      </rPr>
      <t xml:space="preserve">Country risk </t>
    </r>
    <r>
      <rPr>
        <sz val="10"/>
        <rFont val="Noto Sans CJK SC"/>
        <family val="2"/>
      </rPr>
      <t xml:space="preserve">在 </t>
    </r>
    <r>
      <rPr>
        <sz val="10"/>
        <rFont val="Arial"/>
        <family val="0"/>
        <charset val="1"/>
      </rPr>
      <t xml:space="preserve">framework </t>
    </r>
    <r>
      <rPr>
        <sz val="10"/>
        <rFont val="Noto Sans CJK SC"/>
        <family val="2"/>
      </rPr>
      <t xml:space="preserve">中的位置不变（</t>
    </r>
    <r>
      <rPr>
        <sz val="10"/>
        <rFont val="Arial"/>
        <family val="0"/>
        <charset val="1"/>
      </rPr>
      <t xml:space="preserve">BRP </t>
    </r>
    <r>
      <rPr>
        <sz val="10"/>
        <rFont val="Noto Sans CJK SC"/>
        <family val="2"/>
      </rPr>
      <t xml:space="preserve">内经 </t>
    </r>
    <r>
      <rPr>
        <sz val="10"/>
        <rFont val="Arial"/>
        <family val="0"/>
        <charset val="1"/>
      </rPr>
      <t xml:space="preserve">CICRA</t>
    </r>
    <r>
      <rPr>
        <sz val="10"/>
        <rFont val="Noto Sans CJK SC"/>
        <family val="2"/>
      </rPr>
      <t xml:space="preserve">）。</t>
    </r>
    <r>
      <rPr>
        <sz val="10"/>
        <rFont val="Arial"/>
        <family val="0"/>
        <charset val="1"/>
      </rPr>
      <t xml:space="preserve">Power given up</t>
    </r>
    <r>
      <rPr>
        <sz val="10"/>
        <rFont val="Noto Sans CJK SC"/>
        <family val="2"/>
      </rPr>
      <t xml:space="preserve">：</t>
    </r>
    <r>
      <rPr>
        <sz val="10"/>
        <rFont val="Arial"/>
        <family val="0"/>
        <charset val="1"/>
      </rPr>
      <t xml:space="preserve">para 49 +1 category</t>
    </r>
    <r>
      <rPr>
        <sz val="10"/>
        <rFont val="Noto Sans CJK SC"/>
        <family val="2"/>
      </rPr>
      <t xml:space="preserve">、</t>
    </r>
    <r>
      <rPr>
        <sz val="10"/>
        <rFont val="Arial"/>
        <family val="0"/>
        <charset val="1"/>
      </rPr>
      <t xml:space="preserve">para 26 BRP 3→2</t>
    </r>
    <r>
      <rPr>
        <sz val="10"/>
        <rFont val="Noto Sans CJK SC"/>
        <family val="2"/>
      </rPr>
      <t xml:space="preserve">、</t>
    </r>
    <r>
      <rPr>
        <sz val="10"/>
        <rFont val="Arial"/>
        <family val="0"/>
        <charset val="1"/>
      </rPr>
      <t xml:space="preserve">para 45 −1 category</t>
    </r>
    <r>
      <rPr>
        <sz val="10"/>
        <rFont val="Noto Sans CJK SC"/>
        <family val="2"/>
      </rPr>
      <t xml:space="preserve">（若删除）。</t>
    </r>
    <r>
      <rPr>
        <sz val="10"/>
        <rFont val="Arial"/>
        <family val="0"/>
        <charset val="1"/>
      </rPr>
      <t xml:space="preserve">Power regained</t>
    </r>
    <r>
      <rPr>
        <sz val="10"/>
        <rFont val="Noto Sans CJK SC"/>
        <family val="2"/>
      </rPr>
      <t xml:space="preserve">：−</t>
    </r>
    <r>
      <rPr>
        <sz val="10"/>
        <rFont val="Arial"/>
        <family val="0"/>
        <charset val="1"/>
      </rPr>
      <t xml:space="preserve">1 notching</t>
    </r>
    <r>
      <rPr>
        <sz val="10"/>
        <rFont val="Noto Sans CJK SC"/>
        <family val="2"/>
      </rPr>
      <t xml:space="preserve">。下游：</t>
    </r>
    <r>
      <rPr>
        <sz val="10"/>
        <rFont val="Arial"/>
        <family val="0"/>
        <charset val="1"/>
      </rPr>
      <t xml:space="preserve">CR </t>
    </r>
    <r>
      <rPr>
        <sz val="10"/>
        <rFont val="Noto Sans CJK SC"/>
        <family val="2"/>
      </rPr>
      <t xml:space="preserve">经 </t>
    </r>
    <r>
      <rPr>
        <sz val="10"/>
        <rFont val="Arial"/>
        <family val="0"/>
        <charset val="1"/>
      </rPr>
      <t xml:space="preserve">Table 1 </t>
    </r>
    <r>
      <rPr>
        <sz val="10"/>
        <rFont val="Noto Sans CJK SC"/>
        <family val="2"/>
      </rPr>
      <t xml:space="preserve">影响 </t>
    </r>
    <r>
      <rPr>
        <sz val="10"/>
        <rFont val="Arial"/>
        <family val="0"/>
        <charset val="1"/>
      </rPr>
      <t xml:space="preserve">CICRA</t>
    </r>
    <r>
      <rPr>
        <sz val="10"/>
        <rFont val="Noto Sans CJK SC"/>
        <family val="2"/>
      </rPr>
      <t xml:space="preserve">，经 </t>
    </r>
    <r>
      <rPr>
        <sz val="10"/>
        <rFont val="Arial"/>
        <family val="0"/>
        <charset val="1"/>
      </rPr>
      <t xml:space="preserve">Table 2 </t>
    </r>
    <r>
      <rPr>
        <sz val="10"/>
        <rFont val="Noto Sans CJK SC"/>
        <family val="2"/>
      </rPr>
      <t xml:space="preserve">影响 </t>
    </r>
    <r>
      <rPr>
        <sz val="10"/>
        <rFont val="Arial"/>
        <family val="0"/>
        <charset val="1"/>
      </rPr>
      <t xml:space="preserve">BRP</t>
    </r>
    <r>
      <rPr>
        <sz val="10"/>
        <rFont val="Noto Sans CJK SC"/>
        <family val="2"/>
      </rPr>
      <t xml:space="preserve">，经 </t>
    </r>
    <r>
      <rPr>
        <sz val="10"/>
        <rFont val="Arial"/>
        <family val="0"/>
        <charset val="1"/>
      </rPr>
      <t xml:space="preserve">para 123 </t>
    </r>
    <r>
      <rPr>
        <sz val="10"/>
        <rFont val="Noto Sans CJK SC"/>
        <family val="2"/>
      </rPr>
      <t xml:space="preserve">决定 </t>
    </r>
    <r>
      <rPr>
        <sz val="10"/>
        <rFont val="Arial"/>
        <family val="0"/>
        <charset val="1"/>
      </rPr>
      <t xml:space="preserve">FRP volatility table</t>
    </r>
    <r>
      <rPr>
        <sz val="10"/>
        <rFont val="Noto Sans CJK SC"/>
        <family val="2"/>
      </rPr>
      <t xml:space="preserve">，经 </t>
    </r>
    <r>
      <rPr>
        <sz val="10"/>
        <rFont val="Arial"/>
        <family val="0"/>
        <charset val="1"/>
      </rPr>
      <t xml:space="preserve">para 87 </t>
    </r>
    <r>
      <rPr>
        <sz val="10"/>
        <rFont val="Noto Sans CJK SC"/>
        <family val="2"/>
      </rPr>
      <t xml:space="preserve">影响 </t>
    </r>
    <r>
      <rPr>
        <sz val="10"/>
        <rFont val="Arial"/>
        <family val="0"/>
        <charset val="1"/>
      </rPr>
      <t xml:space="preserve">SER volatility adjustment</t>
    </r>
    <r>
      <rPr>
        <sz val="10"/>
        <rFont val="Noto Sans CJK SC"/>
        <family val="2"/>
      </rPr>
      <t xml:space="preserve">，</t>
    </r>
    <r>
      <rPr>
        <sz val="10"/>
        <rFont val="Arial"/>
        <family val="0"/>
        <charset val="1"/>
      </rPr>
      <t xml:space="preserve">SSCM </t>
    </r>
    <r>
      <rPr>
        <sz val="10"/>
        <rFont val="Noto Sans CJK SC"/>
        <family val="2"/>
      </rPr>
      <t xml:space="preserve">多处以 </t>
    </r>
    <r>
      <rPr>
        <sz val="10"/>
        <rFont val="Arial"/>
        <family val="0"/>
        <charset val="1"/>
      </rPr>
      <t xml:space="preserve">country risk score </t>
    </r>
    <r>
      <rPr>
        <sz val="10"/>
        <rFont val="Noto Sans CJK SC"/>
        <family val="2"/>
      </rPr>
      <t xml:space="preserve">的 </t>
    </r>
    <r>
      <rPr>
        <sz val="10"/>
        <rFont val="Arial"/>
        <family val="0"/>
        <charset val="1"/>
      </rPr>
      <t xml:space="preserve">'3' or better / '4' or better </t>
    </r>
    <r>
      <rPr>
        <sz val="10"/>
        <rFont val="Noto Sans CJK SC"/>
        <family val="2"/>
      </rPr>
      <t xml:space="preserve">作门槛。</t>
    </r>
    <r>
      <rPr>
        <sz val="10"/>
        <rFont val="Arial"/>
        <family val="0"/>
        <charset val="1"/>
      </rPr>
      <t xml:space="preserve">IHC</t>
    </r>
    <r>
      <rPr>
        <sz val="10"/>
        <rFont val="Noto Sans CJK SC"/>
        <family val="2"/>
      </rPr>
      <t xml:space="preserve">、</t>
    </r>
    <r>
      <rPr>
        <sz val="10"/>
        <rFont val="Arial"/>
        <family val="0"/>
        <charset val="1"/>
      </rPr>
      <t xml:space="preserve">Project Developers</t>
    </r>
    <r>
      <rPr>
        <sz val="10"/>
        <rFont val="Noto Sans CJK SC"/>
        <family val="2"/>
      </rPr>
      <t xml:space="preserve">、</t>
    </r>
    <r>
      <rPr>
        <sz val="10"/>
        <rFont val="Arial"/>
        <family val="0"/>
        <charset val="1"/>
      </rPr>
      <t xml:space="preserve">Real Estate KCF </t>
    </r>
    <r>
      <rPr>
        <sz val="10"/>
        <rFont val="Noto Sans CJK SC"/>
        <family val="2"/>
      </rPr>
      <t xml:space="preserve">通过引用继承 </t>
    </r>
    <r>
      <rPr>
        <sz val="10"/>
        <rFont val="Arial"/>
        <family val="0"/>
        <charset val="1"/>
      </rPr>
      <t xml:space="preserve">corporate </t>
    </r>
    <r>
      <rPr>
        <sz val="10"/>
        <rFont val="Noto Sans CJK SC"/>
        <family val="2"/>
      </rPr>
      <t xml:space="preserve">的 </t>
    </r>
    <r>
      <rPr>
        <sz val="10"/>
        <rFont val="Arial"/>
        <family val="0"/>
        <charset val="1"/>
      </rPr>
      <t xml:space="preserve">determination</t>
    </r>
    <r>
      <rPr>
        <sz val="10"/>
        <rFont val="Noto Sans CJK SC"/>
        <family val="2"/>
      </rPr>
      <t xml:space="preserve">。</t>
    </r>
  </si>
  <si>
    <r>
      <rPr>
        <sz val="10"/>
        <rFont val="Noto Sans CJK SC"/>
        <family val="2"/>
      </rPr>
      <t xml:space="preserve">位置不变，因此 </t>
    </r>
    <r>
      <rPr>
        <sz val="10"/>
        <rFont val="Arial"/>
        <family val="0"/>
        <charset val="1"/>
      </rPr>
      <t xml:space="preserve">relative weighting </t>
    </r>
    <r>
      <rPr>
        <sz val="10"/>
        <rFont val="Noto Sans CJK SC"/>
        <family val="2"/>
      </rPr>
      <t xml:space="preserve">不受影响；但 </t>
    </r>
    <r>
      <rPr>
        <sz val="10"/>
        <rFont val="Arial"/>
        <family val="0"/>
        <charset val="1"/>
      </rPr>
      <t xml:space="preserve">determination </t>
    </r>
    <r>
      <rPr>
        <sz val="10"/>
        <rFont val="Noto Sans CJK SC"/>
        <family val="2"/>
      </rPr>
      <t xml:space="preserve">的分布变化会经 </t>
    </r>
    <r>
      <rPr>
        <sz val="10"/>
        <rFont val="Arial"/>
        <family val="0"/>
        <charset val="1"/>
      </rPr>
      <t xml:space="preserve">CICRA </t>
    </r>
    <r>
      <rPr>
        <sz val="10"/>
        <rFont val="Noto Sans CJK SC"/>
        <family val="2"/>
      </rPr>
      <t xml:space="preserve">传导到 </t>
    </r>
    <r>
      <rPr>
        <sz val="10"/>
        <rFont val="Arial"/>
        <family val="0"/>
        <charset val="1"/>
      </rPr>
      <t xml:space="preserve">volatility table </t>
    </r>
    <r>
      <rPr>
        <sz val="10"/>
        <rFont val="Noto Sans CJK SC"/>
        <family val="2"/>
      </rPr>
      <t xml:space="preserve">选择与 </t>
    </r>
    <r>
      <rPr>
        <sz val="10"/>
        <rFont val="Arial"/>
        <family val="0"/>
        <charset val="1"/>
      </rPr>
      <t xml:space="preserve">SSCM </t>
    </r>
    <r>
      <rPr>
        <sz val="10"/>
        <rFont val="Noto Sans CJK SC"/>
        <family val="2"/>
      </rPr>
      <t xml:space="preserve">门槛，需在 </t>
    </r>
    <r>
      <rPr>
        <sz val="10"/>
        <rFont val="Arial"/>
        <family val="0"/>
        <charset val="1"/>
      </rPr>
      <t xml:space="preserve">impact testing </t>
    </r>
    <r>
      <rPr>
        <sz val="10"/>
        <rFont val="Noto Sans CJK SC"/>
        <family val="2"/>
      </rPr>
      <t xml:space="preserve">中单独统计 </t>
    </r>
    <r>
      <rPr>
        <sz val="10"/>
        <rFont val="Arial"/>
        <family val="0"/>
        <charset val="1"/>
      </rPr>
      <t xml:space="preserve">CICRA </t>
    </r>
    <r>
      <rPr>
        <sz val="10"/>
        <rFont val="Noto Sans CJK SC"/>
        <family val="2"/>
      </rPr>
      <t xml:space="preserve">变动数。</t>
    </r>
    <r>
      <rPr>
        <sz val="10"/>
        <rFont val="Arial"/>
        <family val="0"/>
        <charset val="1"/>
      </rPr>
      <t xml:space="preserve">para 87 </t>
    </r>
    <r>
      <rPr>
        <sz val="10"/>
        <rFont val="Noto Sans CJK SC"/>
        <family val="2"/>
      </rPr>
      <t xml:space="preserve">的 </t>
    </r>
    <r>
      <rPr>
        <sz val="10"/>
        <rFont val="Arial"/>
        <family val="0"/>
        <charset val="1"/>
      </rPr>
      <t xml:space="preserve">"weighted country risk assessment" </t>
    </r>
    <r>
      <rPr>
        <sz val="10"/>
        <rFont val="Noto Sans CJK SC"/>
        <family val="2"/>
      </rPr>
      <t xml:space="preserve">措辞依赖 </t>
    </r>
    <r>
      <rPr>
        <sz val="10"/>
        <rFont val="Arial"/>
        <family val="0"/>
        <charset val="1"/>
      </rPr>
      <t xml:space="preserve">weighted </t>
    </r>
    <r>
      <rPr>
        <sz val="10"/>
        <rFont val="Noto Sans CJK SC"/>
        <family val="2"/>
      </rPr>
      <t xml:space="preserve">概念是否保留。</t>
    </r>
  </si>
  <si>
    <r>
      <rPr>
        <sz val="10"/>
        <rFont val="Noto Sans CJK SC"/>
        <family val="2"/>
      </rPr>
      <t xml:space="preserve">部分完成（待其他 </t>
    </r>
    <r>
      <rPr>
        <sz val="10"/>
        <rFont val="Arial"/>
        <family val="0"/>
        <charset val="1"/>
      </rPr>
      <t xml:space="preserve">change </t>
    </r>
    <r>
      <rPr>
        <sz val="10"/>
        <rFont val="Noto Sans CJK SC"/>
        <family val="2"/>
      </rPr>
      <t xml:space="preserve">定稿）</t>
    </r>
  </si>
  <si>
    <r>
      <rPr>
        <sz val="10"/>
        <rFont val="Arial"/>
        <family val="0"/>
        <charset val="1"/>
      </rPr>
      <t xml:space="preserve">Test rationale</t>
    </r>
    <r>
      <rPr>
        <sz val="10"/>
        <rFont val="Noto Sans CJK SC"/>
        <family val="2"/>
      </rPr>
      <t xml:space="preserve">；</t>
    </r>
    <r>
      <rPr>
        <sz val="10"/>
        <rFont val="Arial"/>
        <family val="0"/>
        <charset val="1"/>
      </rPr>
      <t xml:space="preserve">Section 2 "Validity of the analytical framework" </t>
    </r>
    <r>
      <rPr>
        <sz val="10"/>
        <rFont val="Noto Sans CJK SC"/>
        <family val="2"/>
      </rPr>
      <t xml:space="preserve">行</t>
    </r>
  </si>
  <si>
    <t xml:space="preserve">4</t>
  </si>
  <si>
    <r>
      <rPr>
        <sz val="10"/>
        <rFont val="Arial"/>
        <family val="0"/>
        <charset val="1"/>
      </rPr>
      <t xml:space="preserve">Relative weighting</t>
    </r>
    <r>
      <rPr>
        <sz val="10"/>
        <rFont val="Noto Sans CJK SC"/>
        <family val="2"/>
      </rPr>
      <t xml:space="preserve">（</t>
    </r>
    <r>
      <rPr>
        <sz val="10"/>
        <rFont val="Arial"/>
        <family val="0"/>
        <charset val="1"/>
      </rPr>
      <t xml:space="preserve">proposed vs existing</t>
    </r>
    <r>
      <rPr>
        <sz val="10"/>
        <rFont val="Noto Sans CJK SC"/>
        <family val="2"/>
      </rPr>
      <t xml:space="preserve">）</t>
    </r>
  </si>
  <si>
    <t xml:space="preserve">Its relative weighting (proposed vs existing)</t>
  </si>
  <si>
    <r>
      <rPr>
        <sz val="10"/>
        <rFont val="Arial"/>
        <family val="0"/>
        <charset val="1"/>
      </rPr>
      <t xml:space="preserve">Corporate Methodology Table 1</t>
    </r>
    <r>
      <rPr>
        <sz val="10"/>
        <rFont val="Noto Sans CJK SC"/>
        <family val="2"/>
      </rPr>
      <t xml:space="preserve">、</t>
    </r>
    <r>
      <rPr>
        <sz val="10"/>
        <rFont val="Arial"/>
        <family val="0"/>
        <charset val="1"/>
      </rPr>
      <t xml:space="preserve">Table 2</t>
    </r>
    <r>
      <rPr>
        <sz val="10"/>
        <rFont val="Noto Sans CJK SC"/>
        <family val="2"/>
      </rPr>
      <t xml:space="preserve">；</t>
    </r>
    <r>
      <rPr>
        <sz val="10"/>
        <rFont val="Arial"/>
        <family val="0"/>
        <charset val="1"/>
      </rPr>
      <t xml:space="preserve">Sept pptx</t>
    </r>
    <r>
      <rPr>
        <sz val="10"/>
        <rFont val="Noto Sans CJK SC"/>
        <family val="2"/>
      </rPr>
      <t xml:space="preserve">（未提 </t>
    </r>
    <r>
      <rPr>
        <sz val="10"/>
        <rFont val="Arial"/>
        <family val="0"/>
        <charset val="1"/>
      </rPr>
      <t xml:space="preserve">Table 1/2 </t>
    </r>
    <r>
      <rPr>
        <sz val="10"/>
        <rFont val="Noto Sans CJK SC"/>
        <family val="2"/>
      </rPr>
      <t xml:space="preserve">改动）；</t>
    </r>
    <r>
      <rPr>
        <sz val="10"/>
        <rFont val="Arial"/>
        <family val="0"/>
        <charset val="1"/>
      </rPr>
      <t xml:space="preserve">working doc §A</t>
    </r>
    <r>
      <rPr>
        <sz val="10"/>
        <rFont val="Noto Sans CJK SC"/>
        <family val="2"/>
      </rPr>
      <t xml:space="preserve">（</t>
    </r>
    <r>
      <rPr>
        <sz val="10"/>
        <rFont val="Arial"/>
        <family val="0"/>
        <charset val="1"/>
      </rPr>
      <t xml:space="preserve">BRP </t>
    </r>
    <r>
      <rPr>
        <sz val="10"/>
        <rFont val="Noto Sans CJK SC"/>
        <family val="2"/>
      </rPr>
      <t xml:space="preserve">拟 </t>
    </r>
    <r>
      <rPr>
        <sz val="10"/>
        <rFont val="Arial"/>
        <family val="0"/>
        <charset val="1"/>
      </rPr>
      <t xml:space="preserve">"based on weighted average assessment of competitive position factors"</t>
    </r>
    <r>
      <rPr>
        <sz val="10"/>
        <rFont val="Noto Sans CJK SC"/>
        <family val="2"/>
      </rPr>
      <t xml:space="preserve">）。</t>
    </r>
  </si>
  <si>
    <r>
      <rPr>
        <sz val="10"/>
        <rFont val="Noto Sans CJK SC"/>
        <family val="2"/>
      </rPr>
      <t xml:space="preserve">确认 </t>
    </r>
    <r>
      <rPr>
        <sz val="10"/>
        <rFont val="Arial"/>
        <family val="0"/>
        <charset val="1"/>
      </rPr>
      <t xml:space="preserve">CP-72 </t>
    </r>
    <r>
      <rPr>
        <sz val="10"/>
        <rFont val="Noto Sans CJK SC"/>
        <family val="2"/>
      </rPr>
      <t xml:space="preserve">下 </t>
    </r>
    <r>
      <rPr>
        <sz val="10"/>
        <rFont val="Arial"/>
        <family val="0"/>
        <charset val="1"/>
      </rPr>
      <t xml:space="preserve">Table 1 </t>
    </r>
    <r>
      <rPr>
        <sz val="10"/>
        <rFont val="Noto Sans CJK SC"/>
        <family val="2"/>
      </rPr>
      <t xml:space="preserve">与 </t>
    </r>
    <r>
      <rPr>
        <sz val="10"/>
        <rFont val="Arial"/>
        <family val="0"/>
        <charset val="1"/>
      </rPr>
      <t xml:space="preserve">Table 2 </t>
    </r>
    <r>
      <rPr>
        <sz val="10"/>
        <rFont val="Noto Sans CJK SC"/>
        <family val="2"/>
      </rPr>
      <t xml:space="preserve">不变；确认 </t>
    </r>
    <r>
      <rPr>
        <sz val="10"/>
        <rFont val="Arial"/>
        <family val="0"/>
        <charset val="1"/>
      </rPr>
      <t xml:space="preserve">working doc §A </t>
    </r>
    <r>
      <rPr>
        <sz val="10"/>
        <rFont val="Noto Sans CJK SC"/>
        <family val="2"/>
      </rPr>
      <t xml:space="preserve">的 </t>
    </r>
    <r>
      <rPr>
        <sz val="10"/>
        <rFont val="Arial"/>
        <family val="0"/>
        <charset val="1"/>
      </rPr>
      <t xml:space="preserve">BRP </t>
    </r>
    <r>
      <rPr>
        <sz val="10"/>
        <rFont val="Noto Sans CJK SC"/>
        <family val="2"/>
      </rPr>
      <t xml:space="preserve">加权方案是否改变 </t>
    </r>
    <r>
      <rPr>
        <sz val="10"/>
        <rFont val="Arial"/>
        <family val="0"/>
        <charset val="1"/>
      </rPr>
      <t xml:space="preserve">CICRA </t>
    </r>
    <r>
      <rPr>
        <sz val="10"/>
        <rFont val="Noto Sans CJK SC"/>
        <family val="2"/>
      </rPr>
      <t xml:space="preserve">在 </t>
    </r>
    <r>
      <rPr>
        <sz val="10"/>
        <rFont val="Arial"/>
        <family val="0"/>
        <charset val="1"/>
      </rPr>
      <t xml:space="preserve">BRP </t>
    </r>
    <r>
      <rPr>
        <sz val="10"/>
        <rFont val="Noto Sans CJK SC"/>
        <family val="2"/>
      </rPr>
      <t xml:space="preserve">中的权重。</t>
    </r>
  </si>
  <si>
    <r>
      <rPr>
        <sz val="10"/>
        <rFont val="Arial"/>
        <family val="0"/>
        <charset val="1"/>
      </rPr>
      <t xml:space="preserve">pptx </t>
    </r>
    <r>
      <rPr>
        <sz val="10"/>
        <rFont val="Noto Sans CJK SC"/>
        <family val="2"/>
      </rPr>
      <t xml:space="preserve">未提 </t>
    </r>
    <r>
      <rPr>
        <sz val="10"/>
        <rFont val="Arial"/>
        <family val="0"/>
        <charset val="1"/>
      </rPr>
      <t xml:space="preserve">Table 1 / Table 2 </t>
    </r>
    <r>
      <rPr>
        <sz val="10"/>
        <rFont val="Noto Sans CJK SC"/>
        <family val="2"/>
      </rPr>
      <t xml:space="preserve">改动；若不变，</t>
    </r>
    <r>
      <rPr>
        <sz val="10"/>
        <rFont val="Arial"/>
        <family val="0"/>
        <charset val="1"/>
      </rPr>
      <t xml:space="preserve">country risk </t>
    </r>
    <r>
      <rPr>
        <sz val="10"/>
        <rFont val="Noto Sans CJK SC"/>
        <family val="2"/>
      </rPr>
      <t xml:space="preserve">相对 </t>
    </r>
    <r>
      <rPr>
        <sz val="10"/>
        <rFont val="Arial"/>
        <family val="0"/>
        <charset val="1"/>
      </rPr>
      <t xml:space="preserve">industry risk </t>
    </r>
    <r>
      <rPr>
        <sz val="10"/>
        <rFont val="Noto Sans CJK SC"/>
        <family val="2"/>
      </rPr>
      <t xml:space="preserve">与 </t>
    </r>
    <r>
      <rPr>
        <sz val="10"/>
        <rFont val="Arial"/>
        <family val="0"/>
        <charset val="1"/>
      </rPr>
      <t xml:space="preserve">competitive position </t>
    </r>
    <r>
      <rPr>
        <sz val="10"/>
        <rFont val="Noto Sans CJK SC"/>
        <family val="2"/>
      </rPr>
      <t xml:space="preserve">的权重不变。唯一风险来自 </t>
    </r>
    <r>
      <rPr>
        <sz val="10"/>
        <rFont val="Arial"/>
        <family val="0"/>
        <charset val="1"/>
      </rPr>
      <t xml:space="preserve">#7 </t>
    </r>
    <r>
      <rPr>
        <sz val="10"/>
        <rFont val="Noto Sans CJK SC"/>
        <family val="2"/>
      </rPr>
      <t xml:space="preserve">的 </t>
    </r>
    <r>
      <rPr>
        <sz val="10"/>
        <rFont val="Arial"/>
        <family val="0"/>
        <charset val="1"/>
      </rPr>
      <t xml:space="preserve">BRP </t>
    </r>
    <r>
      <rPr>
        <sz val="10"/>
        <rFont val="Noto Sans CJK SC"/>
        <family val="2"/>
      </rPr>
      <t xml:space="preserve">自动化方案。</t>
    </r>
  </si>
  <si>
    <r>
      <rPr>
        <sz val="10"/>
        <rFont val="Noto Sans CJK SC"/>
        <family val="2"/>
      </rPr>
      <t xml:space="preserve">初步结论 </t>
    </r>
    <r>
      <rPr>
        <sz val="10"/>
        <rFont val="Arial"/>
        <family val="0"/>
        <charset val="1"/>
      </rPr>
      <t xml:space="preserve">unchanged</t>
    </r>
    <r>
      <rPr>
        <sz val="10"/>
        <rFont val="Noto Sans CJK SC"/>
        <family val="2"/>
      </rPr>
      <t xml:space="preserve">；待 </t>
    </r>
    <r>
      <rPr>
        <sz val="10"/>
        <rFont val="Arial"/>
        <family val="0"/>
        <charset val="1"/>
      </rPr>
      <t xml:space="preserve">#7 </t>
    </r>
    <r>
      <rPr>
        <sz val="10"/>
        <rFont val="Noto Sans CJK SC"/>
        <family val="2"/>
      </rPr>
      <t xml:space="preserve">定稿后一句带过。</t>
    </r>
  </si>
  <si>
    <t xml:space="preserve">初步</t>
  </si>
  <si>
    <r>
      <rPr>
        <sz val="10"/>
        <rFont val="Arial"/>
        <family val="0"/>
        <charset val="1"/>
      </rPr>
      <t xml:space="preserve">Test rationale </t>
    </r>
    <r>
      <rPr>
        <sz val="10"/>
        <rFont val="Noto Sans CJK SC"/>
        <family val="2"/>
      </rPr>
      <t xml:space="preserve">一句；</t>
    </r>
    <r>
      <rPr>
        <sz val="10"/>
        <rFont val="Arial"/>
        <family val="0"/>
        <charset val="1"/>
      </rPr>
      <t xml:space="preserve">Section 2 "Validity of the analytical framework" </t>
    </r>
    <r>
      <rPr>
        <sz val="10"/>
        <rFont val="Noto Sans CJK SC"/>
        <family val="2"/>
      </rPr>
      <t xml:space="preserve">行</t>
    </r>
  </si>
  <si>
    <t xml:space="preserve">—</t>
  </si>
  <si>
    <t xml:space="preserve">5</t>
  </si>
  <si>
    <r>
      <rPr>
        <sz val="10"/>
        <rFont val="Arial"/>
        <family val="0"/>
        <charset val="1"/>
      </rPr>
      <t xml:space="preserve">Usage rate</t>
    </r>
    <r>
      <rPr>
        <sz val="10"/>
        <rFont val="Noto Sans CJK SC"/>
        <family val="2"/>
      </rPr>
      <t xml:space="preserve">（</t>
    </r>
    <r>
      <rPr>
        <sz val="10"/>
        <rFont val="Arial"/>
        <family val="0"/>
        <charset val="1"/>
      </rPr>
      <t xml:space="preserve">existing</t>
    </r>
    <r>
      <rPr>
        <sz val="10"/>
        <rFont val="Noto Sans CJK SC"/>
        <family val="2"/>
      </rPr>
      <t xml:space="preserve">）</t>
    </r>
  </si>
  <si>
    <t xml:space="preserve">Its usage rate (existing)</t>
  </si>
  <si>
    <r>
      <rPr>
        <sz val="10"/>
        <rFont val="Noto Sans CJK SC"/>
        <family val="2"/>
      </rPr>
      <t xml:space="preserve">混合：</t>
    </r>
    <r>
      <rPr>
        <sz val="10"/>
        <rFont val="Arial"/>
        <family val="0"/>
        <charset val="1"/>
      </rPr>
      <t xml:space="preserve">pptx </t>
    </r>
    <r>
      <rPr>
        <sz val="10"/>
        <rFont val="Noto Sans CJK SC"/>
        <family val="2"/>
      </rPr>
      <t xml:space="preserve">的数字是 </t>
    </r>
    <r>
      <rPr>
        <sz val="10"/>
        <rFont val="Arial"/>
        <family val="0"/>
        <charset val="1"/>
      </rPr>
      <t xml:space="preserve">squad </t>
    </r>
    <r>
      <rPr>
        <sz val="10"/>
        <rFont val="Noto Sans CJK SC"/>
        <family val="2"/>
      </rPr>
      <t xml:space="preserve">的统计，</t>
    </r>
    <r>
      <rPr>
        <sz val="10"/>
        <rFont val="Arial"/>
        <family val="0"/>
        <charset val="1"/>
      </rPr>
      <t xml:space="preserve">AQV </t>
    </r>
    <r>
      <rPr>
        <sz val="10"/>
        <rFont val="Noto Sans CJK SC"/>
        <family val="2"/>
      </rPr>
      <t xml:space="preserve">索取底稿核对；更宽的 </t>
    </r>
    <r>
      <rPr>
        <sz val="10"/>
        <rFont val="Arial"/>
        <family val="0"/>
        <charset val="1"/>
      </rPr>
      <t xml:space="preserve">portfolio usage </t>
    </r>
    <r>
      <rPr>
        <sz val="10"/>
        <rFont val="Noto Sans CJK SC"/>
        <family val="2"/>
      </rPr>
      <t xml:space="preserve">统计 </t>
    </r>
    <r>
      <rPr>
        <sz val="10"/>
        <rFont val="Arial"/>
        <family val="0"/>
        <charset val="1"/>
      </rPr>
      <t xml:space="preserve">AQV </t>
    </r>
    <r>
      <rPr>
        <sz val="10"/>
        <rFont val="Noto Sans CJK SC"/>
        <family val="2"/>
      </rPr>
      <t xml:space="preserve">自做</t>
    </r>
  </si>
  <si>
    <r>
      <rPr>
        <sz val="10"/>
        <rFont val="Arial"/>
        <family val="0"/>
        <charset val="1"/>
      </rPr>
      <t xml:space="preserve">Sept pptx</t>
    </r>
    <r>
      <rPr>
        <sz val="10"/>
        <rFont val="Noto Sans CJK SC"/>
        <family val="2"/>
      </rPr>
      <t xml:space="preserve">：</t>
    </r>
    <r>
      <rPr>
        <sz val="10"/>
        <rFont val="Arial"/>
        <family val="0"/>
        <charset val="1"/>
      </rPr>
      <t xml:space="preserve">para 26 exception 2 entities</t>
    </r>
    <r>
      <rPr>
        <sz val="10"/>
        <rFont val="Noto Sans CJK SC"/>
        <family val="2"/>
      </rPr>
      <t xml:space="preserve">（</t>
    </r>
    <r>
      <rPr>
        <sz val="10"/>
        <rFont val="Arial"/>
        <family val="0"/>
        <charset val="1"/>
      </rPr>
      <t xml:space="preserve">Transportation Cyclical</t>
    </r>
    <r>
      <rPr>
        <sz val="10"/>
        <rFont val="Noto Sans CJK SC"/>
        <family val="2"/>
      </rPr>
      <t xml:space="preserve">）</t>
    </r>
    <r>
      <rPr>
        <sz val="10"/>
        <rFont val="Arial"/>
        <family val="0"/>
        <charset val="1"/>
      </rPr>
      <t xml:space="preserve">+ 8 potential</t>
    </r>
    <r>
      <rPr>
        <sz val="10"/>
        <rFont val="Noto Sans CJK SC"/>
        <family val="2"/>
      </rPr>
      <t xml:space="preserve">；</t>
    </r>
    <r>
      <rPr>
        <sz val="10"/>
        <rFont val="Arial"/>
        <family val="0"/>
        <charset val="1"/>
      </rPr>
      <t xml:space="preserve">CICRA 4 &amp; Excellent CP 48 entities</t>
    </r>
    <r>
      <rPr>
        <sz val="10"/>
        <rFont val="Noto Sans CJK SC"/>
        <family val="2"/>
      </rPr>
      <t xml:space="preserve">（</t>
    </r>
    <r>
      <rPr>
        <sz val="10"/>
        <rFont val="Arial"/>
        <family val="0"/>
        <charset val="1"/>
      </rPr>
      <t xml:space="preserve">CR ≤2</t>
    </r>
    <r>
      <rPr>
        <sz val="10"/>
        <rFont val="Noto Sans CJK SC"/>
        <family val="2"/>
      </rPr>
      <t xml:space="preserve">：</t>
    </r>
    <r>
      <rPr>
        <sz val="10"/>
        <rFont val="Arial"/>
        <family val="0"/>
        <charset val="1"/>
      </rPr>
      <t xml:space="preserve">19</t>
    </r>
    <r>
      <rPr>
        <sz val="10"/>
        <rFont val="Noto Sans CJK SC"/>
        <family val="2"/>
      </rPr>
      <t xml:space="preserve">；</t>
    </r>
    <r>
      <rPr>
        <sz val="10"/>
        <rFont val="Arial"/>
        <family val="0"/>
        <charset val="1"/>
      </rPr>
      <t xml:space="preserve">CR ≤3</t>
    </r>
    <r>
      <rPr>
        <sz val="10"/>
        <rFont val="Noto Sans CJK SC"/>
        <family val="2"/>
      </rPr>
      <t xml:space="preserve">：</t>
    </r>
    <r>
      <rPr>
        <sz val="10"/>
        <rFont val="Arial"/>
        <family val="0"/>
        <charset val="1"/>
      </rPr>
      <t xml:space="preserve">33</t>
    </r>
    <r>
      <rPr>
        <sz val="10"/>
        <rFont val="Noto Sans CJK SC"/>
        <family val="2"/>
      </rPr>
      <t xml:space="preserve">）；</t>
    </r>
    <r>
      <rPr>
        <sz val="10"/>
        <rFont val="Arial"/>
        <family val="0"/>
        <charset val="1"/>
      </rPr>
      <t xml:space="preserve">paras 48–51 </t>
    </r>
    <r>
      <rPr>
        <sz val="10"/>
        <rFont val="Noto Sans CJK SC"/>
        <family val="2"/>
      </rPr>
      <t xml:space="preserve">使用 </t>
    </r>
    <r>
      <rPr>
        <sz val="10"/>
        <rFont val="Arial"/>
        <family val="0"/>
        <charset val="1"/>
      </rPr>
      <t xml:space="preserve">9 entities</t>
    </r>
    <r>
      <rPr>
        <sz val="10"/>
        <rFont val="Noto Sans CJK SC"/>
        <family val="2"/>
      </rPr>
      <t xml:space="preserve">，</t>
    </r>
    <r>
      <rPr>
        <sz val="10"/>
        <rFont val="Arial"/>
        <family val="0"/>
        <charset val="1"/>
      </rPr>
      <t xml:space="preserve">2 </t>
    </r>
    <r>
      <rPr>
        <sz val="10"/>
        <rFont val="Noto Sans CJK SC"/>
        <family val="2"/>
      </rPr>
      <t xml:space="preserve">个影响 </t>
    </r>
    <r>
      <rPr>
        <sz val="10"/>
        <rFont val="Arial"/>
        <family val="0"/>
        <charset val="1"/>
      </rPr>
      <t xml:space="preserve">CICRA</t>
    </r>
    <r>
      <rPr>
        <sz val="10"/>
        <rFont val="Noto Sans CJK SC"/>
        <family val="2"/>
      </rPr>
      <t xml:space="preserve">，</t>
    </r>
    <r>
      <rPr>
        <sz val="10"/>
        <rFont val="Arial"/>
        <family val="0"/>
        <charset val="1"/>
      </rPr>
      <t xml:space="preserve">0 </t>
    </r>
    <r>
      <rPr>
        <sz val="10"/>
        <rFont val="Noto Sans CJK SC"/>
        <family val="2"/>
      </rPr>
      <t xml:space="preserve">个影响 </t>
    </r>
    <r>
      <rPr>
        <sz val="10"/>
        <rFont val="Arial"/>
        <family val="0"/>
        <charset val="1"/>
      </rPr>
      <t xml:space="preserve">BRP/rating</t>
    </r>
    <r>
      <rPr>
        <sz val="10"/>
        <rFont val="Noto Sans CJK SC"/>
        <family val="2"/>
      </rPr>
      <t xml:space="preserve">。</t>
    </r>
  </si>
  <si>
    <r>
      <rPr>
        <sz val="10"/>
        <rFont val="Noto Sans CJK SC"/>
        <family val="2"/>
      </rPr>
      <t xml:space="preserve">上述数字的 </t>
    </r>
    <r>
      <rPr>
        <sz val="10"/>
        <rFont val="Arial"/>
        <family val="0"/>
        <charset val="1"/>
      </rPr>
      <t xml:space="preserve">entity </t>
    </r>
    <r>
      <rPr>
        <sz val="10"/>
        <rFont val="Noto Sans CJK SC"/>
        <family val="2"/>
      </rPr>
      <t xml:space="preserve">名单与条件核对底稿（</t>
    </r>
    <r>
      <rPr>
        <sz val="10"/>
        <rFont val="Arial"/>
        <family val="0"/>
        <charset val="1"/>
      </rPr>
      <t xml:space="preserve">A.3</t>
    </r>
    <r>
      <rPr>
        <sz val="10"/>
        <rFont val="Noto Sans CJK SC"/>
        <family val="2"/>
      </rPr>
      <t xml:space="preserve">）；</t>
    </r>
    <r>
      <rPr>
        <sz val="10"/>
        <rFont val="Arial"/>
        <family val="0"/>
        <charset val="1"/>
      </rPr>
      <t xml:space="preserve">portfolio </t>
    </r>
    <r>
      <rPr>
        <sz val="10"/>
        <rFont val="Noto Sans CJK SC"/>
        <family val="2"/>
      </rPr>
      <t xml:space="preserve">层面：</t>
    </r>
    <r>
      <rPr>
        <sz val="10"/>
        <rFont val="Arial"/>
        <family val="0"/>
        <charset val="1"/>
      </rPr>
      <t xml:space="preserve">CR score </t>
    </r>
    <r>
      <rPr>
        <sz val="10"/>
        <rFont val="Noto Sans CJK SC"/>
        <family val="2"/>
      </rPr>
      <t xml:space="preserve">分布、</t>
    </r>
    <r>
      <rPr>
        <sz val="10"/>
        <rFont val="Arial"/>
        <family val="0"/>
        <charset val="1"/>
      </rPr>
      <t xml:space="preserve">CICRA </t>
    </r>
    <r>
      <rPr>
        <sz val="10"/>
        <rFont val="Noto Sans CJK SC"/>
        <family val="2"/>
      </rPr>
      <t xml:space="preserve">分布、</t>
    </r>
    <r>
      <rPr>
        <sz val="10"/>
        <rFont val="Arial"/>
        <family val="0"/>
        <charset val="1"/>
      </rPr>
      <t xml:space="preserve">single vs multi-country </t>
    </r>
    <r>
      <rPr>
        <sz val="10"/>
        <rFont val="Noto Sans CJK SC"/>
        <family val="2"/>
      </rPr>
      <t xml:space="preserve">数量、</t>
    </r>
    <r>
      <rPr>
        <sz val="10"/>
        <rFont val="Arial"/>
        <family val="0"/>
        <charset val="1"/>
      </rPr>
      <t xml:space="preserve">weak-link / para 45 / regional assessment / </t>
    </r>
    <r>
      <rPr>
        <sz val="10"/>
        <rFont val="Noto Sans CJK SC"/>
        <family val="2"/>
      </rPr>
      <t xml:space="preserve">估算的使用次数、含 </t>
    </r>
    <r>
      <rPr>
        <sz val="10"/>
        <rFont val="Arial"/>
        <family val="0"/>
        <charset val="1"/>
      </rPr>
      <t xml:space="preserve">sub-5% exposure </t>
    </r>
    <r>
      <rPr>
        <sz val="10"/>
        <rFont val="Noto Sans CJK SC"/>
        <family val="2"/>
      </rPr>
      <t xml:space="preserve">的 </t>
    </r>
    <r>
      <rPr>
        <sz val="10"/>
        <rFont val="Arial"/>
        <family val="0"/>
        <charset val="1"/>
      </rPr>
      <t xml:space="preserve">entity </t>
    </r>
    <r>
      <rPr>
        <sz val="10"/>
        <rFont val="Noto Sans CJK SC"/>
        <family val="2"/>
      </rPr>
      <t xml:space="preserve">数量（</t>
    </r>
    <r>
      <rPr>
        <sz val="10"/>
        <rFont val="Arial"/>
        <family val="0"/>
        <charset val="1"/>
      </rPr>
      <t xml:space="preserve">C.17–18</t>
    </r>
    <r>
      <rPr>
        <sz val="10"/>
        <rFont val="Noto Sans CJK SC"/>
        <family val="2"/>
      </rPr>
      <t xml:space="preserve">）。</t>
    </r>
  </si>
  <si>
    <r>
      <rPr>
        <sz val="10"/>
        <rFont val="Noto Sans CJK SC"/>
        <family val="2"/>
      </rPr>
      <t xml:space="preserve">已有的 </t>
    </r>
    <r>
      <rPr>
        <sz val="10"/>
        <rFont val="Arial"/>
        <family val="0"/>
        <charset val="1"/>
      </rPr>
      <t xml:space="preserve">usage </t>
    </r>
    <r>
      <rPr>
        <sz val="10"/>
        <rFont val="Noto Sans CJK SC"/>
        <family val="2"/>
      </rPr>
      <t xml:space="preserve">数字全部来自 </t>
    </r>
    <r>
      <rPr>
        <sz val="10"/>
        <rFont val="Arial"/>
        <family val="0"/>
        <charset val="1"/>
      </rPr>
      <t xml:space="preserve">squad</t>
    </r>
    <r>
      <rPr>
        <sz val="10"/>
        <rFont val="Noto Sans CJK SC"/>
        <family val="2"/>
      </rPr>
      <t xml:space="preserve">，</t>
    </r>
    <r>
      <rPr>
        <sz val="10"/>
        <rFont val="Arial"/>
        <family val="0"/>
        <charset val="1"/>
      </rPr>
      <t xml:space="preserve">AQV </t>
    </r>
    <r>
      <rPr>
        <sz val="10"/>
        <rFont val="Noto Sans CJK SC"/>
        <family val="2"/>
      </rPr>
      <t xml:space="preserve">尚未核对。按 </t>
    </r>
    <r>
      <rPr>
        <sz val="10"/>
        <rFont val="Arial"/>
        <family val="0"/>
        <charset val="1"/>
      </rPr>
      <t xml:space="preserve">CP-49 §6.3.8 </t>
    </r>
    <r>
      <rPr>
        <sz val="10"/>
        <rFont val="Noto Sans CJK SC"/>
        <family val="2"/>
      </rPr>
      <t xml:space="preserve">的写法，</t>
    </r>
    <r>
      <rPr>
        <sz val="10"/>
        <rFont val="Arial"/>
        <family val="0"/>
        <charset val="1"/>
      </rPr>
      <t xml:space="preserve">AQV </t>
    </r>
    <r>
      <rPr>
        <sz val="10"/>
        <rFont val="Noto Sans CJK SC"/>
        <family val="2"/>
      </rPr>
      <t xml:space="preserve">需要自己的统计来支撑 </t>
    </r>
    <r>
      <rPr>
        <sz val="10"/>
        <rFont val="Arial"/>
        <family val="0"/>
        <charset val="1"/>
      </rPr>
      <t xml:space="preserve">"low usage, low impact" </t>
    </r>
    <r>
      <rPr>
        <sz val="10"/>
        <rFont val="Noto Sans CJK SC"/>
        <family val="2"/>
      </rPr>
      <t xml:space="preserve">的 </t>
    </r>
    <r>
      <rPr>
        <sz val="10"/>
        <rFont val="Arial"/>
        <family val="0"/>
        <charset val="1"/>
      </rPr>
      <t xml:space="preserve">simplification rationale</t>
    </r>
    <r>
      <rPr>
        <sz val="10"/>
        <rFont val="Noto Sans CJK SC"/>
        <family val="2"/>
      </rPr>
      <t xml:space="preserve">。</t>
    </r>
  </si>
  <si>
    <r>
      <rPr>
        <sz val="10"/>
        <rFont val="Noto Sans CJK SC"/>
        <family val="2"/>
      </rPr>
      <t xml:space="preserve">待数据；目前只能记录 </t>
    </r>
    <r>
      <rPr>
        <sz val="10"/>
        <rFont val="Arial"/>
        <family val="0"/>
        <charset val="1"/>
      </rPr>
      <t xml:space="preserve">squad </t>
    </r>
    <r>
      <rPr>
        <sz val="10"/>
        <rFont val="Noto Sans CJK SC"/>
        <family val="2"/>
      </rPr>
      <t xml:space="preserve">的数字并列出核对动作。</t>
    </r>
  </si>
  <si>
    <t xml:space="preserve">待材料</t>
  </si>
  <si>
    <r>
      <rPr>
        <sz val="10"/>
        <rFont val="Arial"/>
        <family val="0"/>
        <charset val="1"/>
      </rPr>
      <t xml:space="preserve">Test rationale </t>
    </r>
    <r>
      <rPr>
        <sz val="10"/>
        <rFont val="Noto Sans CJK SC"/>
        <family val="2"/>
      </rPr>
      <t xml:space="preserve">的 </t>
    </r>
    <r>
      <rPr>
        <sz val="10"/>
        <rFont val="Arial"/>
        <family val="0"/>
        <charset val="1"/>
      </rPr>
      <t xml:space="preserve">Simplification Rationale </t>
    </r>
    <r>
      <rPr>
        <sz val="10"/>
        <rFont val="Noto Sans CJK SC"/>
        <family val="2"/>
      </rPr>
      <t xml:space="preserve">小节；</t>
    </r>
    <r>
      <rPr>
        <sz val="10"/>
        <rFont val="Arial"/>
        <family val="0"/>
        <charset val="1"/>
      </rPr>
      <t xml:space="preserve">Section 8.1</t>
    </r>
  </si>
  <si>
    <t xml:space="preserve">6</t>
  </si>
  <si>
    <r>
      <rPr>
        <sz val="10"/>
        <rFont val="Arial"/>
        <family val="0"/>
        <charset val="1"/>
      </rPr>
      <t xml:space="preserve">Expected theoretical impact + scenario analysis</t>
    </r>
    <r>
      <rPr>
        <sz val="10"/>
        <rFont val="Noto Sans CJK SC"/>
        <family val="2"/>
      </rPr>
      <t xml:space="preserve">（</t>
    </r>
    <r>
      <rPr>
        <sz val="10"/>
        <rFont val="Arial"/>
        <family val="0"/>
        <charset val="1"/>
      </rPr>
      <t xml:space="preserve">Gregoire step 1–2</t>
    </r>
    <r>
      <rPr>
        <sz val="10"/>
        <rFont val="Noto Sans CJK SC"/>
        <family val="2"/>
      </rPr>
      <t xml:space="preserve">）</t>
    </r>
  </si>
  <si>
    <t xml:space="preserve">Its expected theoretical impact (proposed) compared to existing</t>
  </si>
  <si>
    <r>
      <rPr>
        <sz val="10"/>
        <rFont val="Arial"/>
        <family val="0"/>
        <charset val="1"/>
      </rPr>
      <t xml:space="preserve">AQV </t>
    </r>
    <r>
      <rPr>
        <sz val="10"/>
        <rFont val="Noto Sans CJK SC"/>
        <family val="2"/>
      </rPr>
      <t xml:space="preserve">自做；</t>
    </r>
    <r>
      <rPr>
        <sz val="10"/>
        <rFont val="Arial"/>
        <family val="0"/>
        <charset val="1"/>
      </rPr>
      <t xml:space="preserve">scenario </t>
    </r>
    <r>
      <rPr>
        <sz val="10"/>
        <rFont val="Noto Sans CJK SC"/>
        <family val="2"/>
      </rPr>
      <t xml:space="preserve">的发生概率需要 </t>
    </r>
    <r>
      <rPr>
        <sz val="10"/>
        <rFont val="Arial"/>
        <family val="0"/>
        <charset val="1"/>
      </rPr>
      <t xml:space="preserve">portfolio </t>
    </r>
    <r>
      <rPr>
        <sz val="10"/>
        <rFont val="Noto Sans CJK SC"/>
        <family val="2"/>
      </rPr>
      <t xml:space="preserve">数据</t>
    </r>
  </si>
  <si>
    <r>
      <rPr>
        <sz val="10"/>
        <rFont val="Arial"/>
        <family val="0"/>
        <charset val="1"/>
      </rPr>
      <t xml:space="preserve">Sept pptx</t>
    </r>
    <r>
      <rPr>
        <sz val="10"/>
        <rFont val="Noto Sans CJK SC"/>
        <family val="2"/>
      </rPr>
      <t xml:space="preserve">；</t>
    </r>
    <r>
      <rPr>
        <sz val="10"/>
        <rFont val="Arial"/>
        <family val="0"/>
        <charset val="1"/>
      </rPr>
      <t xml:space="preserve">Corporate Methodology Tables 1–3</t>
    </r>
    <r>
      <rPr>
        <sz val="10"/>
        <rFont val="Noto Sans CJK SC"/>
        <family val="2"/>
      </rPr>
      <t xml:space="preserve">；</t>
    </r>
    <r>
      <rPr>
        <sz val="10"/>
        <rFont val="Arial"/>
        <family val="0"/>
        <charset val="1"/>
      </rPr>
      <t xml:space="preserve">FI methodology para 36</t>
    </r>
    <r>
      <rPr>
        <sz val="10"/>
        <rFont val="Noto Sans CJK SC"/>
        <family val="2"/>
      </rPr>
      <t xml:space="preserve">（</t>
    </r>
    <r>
      <rPr>
        <sz val="10"/>
        <rFont val="Arial"/>
        <family val="0"/>
        <charset val="1"/>
      </rPr>
      <t xml:space="preserve">rounding </t>
    </r>
    <r>
      <rPr>
        <sz val="10"/>
        <rFont val="Noto Sans CJK SC"/>
        <family val="2"/>
      </rPr>
      <t xml:space="preserve">例）；</t>
    </r>
    <r>
      <rPr>
        <sz val="10"/>
        <rFont val="Arial"/>
        <family val="0"/>
        <charset val="1"/>
      </rPr>
      <t xml:space="preserve">C&amp;G RAS para 58</t>
    </r>
    <r>
      <rPr>
        <sz val="10"/>
        <rFont val="Noto Sans CJK SC"/>
        <family val="2"/>
      </rPr>
      <t xml:space="preserve">；</t>
    </r>
    <r>
      <rPr>
        <sz val="10"/>
        <rFont val="Arial"/>
        <family val="0"/>
        <charset val="1"/>
      </rPr>
      <t xml:space="preserve">GRE / Group Rating </t>
    </r>
    <r>
      <rPr>
        <sz val="10"/>
        <rFont val="Noto Sans CJK SC"/>
        <family val="2"/>
      </rPr>
      <t xml:space="preserve">的一般逻辑。</t>
    </r>
  </si>
  <si>
    <r>
      <rPr>
        <sz val="10"/>
        <rFont val="Noto Sans CJK SC"/>
        <family val="2"/>
      </rPr>
      <t xml:space="preserve">边界区 </t>
    </r>
    <r>
      <rPr>
        <sz val="10"/>
        <rFont val="Arial"/>
        <family val="0"/>
        <charset val="1"/>
      </rPr>
      <t xml:space="preserve">entity </t>
    </r>
    <r>
      <rPr>
        <sz val="10"/>
        <rFont val="Noto Sans CJK SC"/>
        <family val="2"/>
      </rPr>
      <t xml:space="preserve">数量（</t>
    </r>
    <r>
      <rPr>
        <sz val="10"/>
        <rFont val="Arial"/>
        <family val="0"/>
        <charset val="1"/>
      </rPr>
      <t xml:space="preserve">C.17</t>
    </r>
    <r>
      <rPr>
        <sz val="10"/>
        <rFont val="Noto Sans CJK SC"/>
        <family val="2"/>
      </rPr>
      <t xml:space="preserve">）；</t>
    </r>
    <r>
      <rPr>
        <sz val="10"/>
        <rFont val="Arial"/>
        <family val="0"/>
        <charset val="1"/>
      </rPr>
      <t xml:space="preserve">para 26 </t>
    </r>
    <r>
      <rPr>
        <sz val="10"/>
        <rFont val="Noto Sans CJK SC"/>
        <family val="2"/>
      </rPr>
      <t xml:space="preserve">与 </t>
    </r>
    <r>
      <rPr>
        <sz val="10"/>
        <rFont val="Arial"/>
        <family val="0"/>
        <charset val="1"/>
      </rPr>
      <t xml:space="preserve">para 49 </t>
    </r>
    <r>
      <rPr>
        <sz val="10"/>
        <rFont val="Noto Sans CJK SC"/>
        <family val="2"/>
      </rPr>
      <t xml:space="preserve">的 </t>
    </r>
    <r>
      <rPr>
        <sz val="10"/>
        <rFont val="Arial"/>
        <family val="0"/>
        <charset val="1"/>
      </rPr>
      <t xml:space="preserve">entity </t>
    </r>
    <r>
      <rPr>
        <sz val="10"/>
        <rFont val="Noto Sans CJK SC"/>
        <family val="2"/>
      </rPr>
      <t xml:space="preserve">名单；</t>
    </r>
    <r>
      <rPr>
        <sz val="10"/>
        <rFont val="Arial"/>
        <family val="0"/>
        <charset val="1"/>
      </rPr>
      <t xml:space="preserve">testing </t>
    </r>
    <r>
      <rPr>
        <sz val="10"/>
        <rFont val="Noto Sans CJK SC"/>
        <family val="2"/>
      </rPr>
      <t xml:space="preserve">输出；</t>
    </r>
    <r>
      <rPr>
        <sz val="10"/>
        <rFont val="Arial"/>
        <family val="0"/>
        <charset val="1"/>
      </rPr>
      <t xml:space="preserve">draft </t>
    </r>
    <r>
      <rPr>
        <sz val="10"/>
        <rFont val="Noto Sans CJK SC"/>
        <family val="2"/>
      </rPr>
      <t xml:space="preserve">中 −</t>
    </r>
    <r>
      <rPr>
        <sz val="10"/>
        <rFont val="Arial"/>
        <family val="0"/>
        <charset val="1"/>
      </rPr>
      <t xml:space="preserve">1 notching </t>
    </r>
    <r>
      <rPr>
        <sz val="10"/>
        <rFont val="Noto Sans CJK SC"/>
        <family val="2"/>
      </rPr>
      <t xml:space="preserve">与 </t>
    </r>
    <r>
      <rPr>
        <sz val="10"/>
        <rFont val="Arial"/>
        <family val="0"/>
        <charset val="1"/>
      </rPr>
      <t xml:space="preserve">weak-link </t>
    </r>
    <r>
      <rPr>
        <sz val="10"/>
        <rFont val="Noto Sans CJK SC"/>
        <family val="2"/>
      </rPr>
      <t xml:space="preserve">的触发条件。</t>
    </r>
  </si>
  <si>
    <r>
      <rPr>
        <sz val="10"/>
        <rFont val="Noto Sans CJK SC"/>
        <family val="2"/>
      </rPr>
      <t xml:space="preserve">已完成 </t>
    </r>
    <r>
      <rPr>
        <sz val="10"/>
        <rFont val="Arial"/>
        <family val="0"/>
        <charset val="1"/>
      </rPr>
      <t xml:space="preserve">S1–S9 </t>
    </r>
    <r>
      <rPr>
        <sz val="10"/>
        <rFont val="Noto Sans CJK SC"/>
        <family val="2"/>
      </rPr>
      <t xml:space="preserve">的定性推理（见 </t>
    </r>
    <r>
      <rPr>
        <sz val="10"/>
        <rFont val="Arial"/>
        <family val="0"/>
        <charset val="1"/>
      </rPr>
      <t xml:space="preserve">6_Scenarios</t>
    </r>
    <r>
      <rPr>
        <sz val="10"/>
        <rFont val="Noto Sans CJK SC"/>
        <family val="2"/>
      </rPr>
      <t xml:space="preserve">）。可接受的：</t>
    </r>
    <r>
      <rPr>
        <sz val="10"/>
        <rFont val="Arial"/>
        <family val="0"/>
        <charset val="1"/>
      </rPr>
      <t xml:space="preserve">S1 </t>
    </r>
    <r>
      <rPr>
        <sz val="10"/>
        <rFont val="Noto Sans CJK SC"/>
        <family val="2"/>
      </rPr>
      <t xml:space="preserve">小 </t>
    </r>
    <r>
      <rPr>
        <sz val="10"/>
        <rFont val="Arial"/>
        <family val="0"/>
        <charset val="1"/>
      </rPr>
      <t xml:space="preserve">exposure </t>
    </r>
    <r>
      <rPr>
        <sz val="10"/>
        <rFont val="Noto Sans CJK SC"/>
        <family val="2"/>
      </rPr>
      <t xml:space="preserve">纳入（方向正确、幅度有界、</t>
    </r>
    <r>
      <rPr>
        <sz val="10"/>
        <rFont val="Arial"/>
        <family val="0"/>
        <charset val="1"/>
      </rPr>
      <t xml:space="preserve">integer rounding </t>
    </r>
    <r>
      <rPr>
        <sz val="10"/>
        <rFont val="Noto Sans CJK SC"/>
        <family val="2"/>
      </rPr>
      <t xml:space="preserve">吸收）、</t>
    </r>
    <r>
      <rPr>
        <sz val="10"/>
        <rFont val="Arial"/>
        <family val="0"/>
        <charset val="1"/>
      </rPr>
      <t xml:space="preserve">S6 rounding</t>
    </r>
    <r>
      <rPr>
        <sz val="10"/>
        <rFont val="Noto Sans CJK SC"/>
        <family val="2"/>
      </rPr>
      <t xml:space="preserve">、</t>
    </r>
    <r>
      <rPr>
        <sz val="10"/>
        <rFont val="Arial"/>
        <family val="0"/>
        <charset val="1"/>
      </rPr>
      <t xml:space="preserve">S8 volatility</t>
    </r>
    <r>
      <rPr>
        <sz val="10"/>
        <rFont val="Noto Sans CJK SC"/>
        <family val="2"/>
      </rPr>
      <t xml:space="preserve">。需数据核实的：</t>
    </r>
    <r>
      <rPr>
        <sz val="10"/>
        <rFont val="Arial"/>
        <family val="0"/>
        <charset val="1"/>
      </rPr>
      <t xml:space="preserve">S2 para 49 </t>
    </r>
    <r>
      <rPr>
        <sz val="10"/>
        <rFont val="Noto Sans CJK SC"/>
        <family val="2"/>
      </rPr>
      <t xml:space="preserve">使用者、</t>
    </r>
    <r>
      <rPr>
        <sz val="10"/>
        <rFont val="Arial"/>
        <family val="0"/>
        <charset val="1"/>
      </rPr>
      <t xml:space="preserve">S3 para 26 </t>
    </r>
    <r>
      <rPr>
        <sz val="10"/>
        <rFont val="Noto Sans CJK SC"/>
        <family val="2"/>
      </rPr>
      <t xml:space="preserve">的 </t>
    </r>
    <r>
      <rPr>
        <sz val="10"/>
        <rFont val="Arial"/>
        <family val="0"/>
        <charset val="1"/>
      </rPr>
      <t xml:space="preserve">SACP-vs-ICR </t>
    </r>
    <r>
      <rPr>
        <sz val="10"/>
        <rFont val="Noto Sans CJK SC"/>
        <family val="2"/>
      </rPr>
      <t xml:space="preserve">逻辑。潜在 </t>
    </r>
    <r>
      <rPr>
        <sz val="10"/>
        <rFont val="Arial"/>
        <family val="0"/>
        <charset val="1"/>
      </rPr>
      <t xml:space="preserve">Comment </t>
    </r>
    <r>
      <rPr>
        <sz val="10"/>
        <rFont val="Noto Sans CJK SC"/>
        <family val="2"/>
      </rPr>
      <t xml:space="preserve">候选：</t>
    </r>
    <r>
      <rPr>
        <sz val="10"/>
        <rFont val="Arial"/>
        <family val="0"/>
        <charset val="1"/>
      </rPr>
      <t xml:space="preserve">S4 −1 notching </t>
    </r>
    <r>
      <rPr>
        <sz val="10"/>
        <rFont val="Noto Sans CJK SC"/>
        <family val="2"/>
      </rPr>
      <t xml:space="preserve">无 </t>
    </r>
    <r>
      <rPr>
        <sz val="10"/>
        <rFont val="Arial"/>
        <family val="0"/>
        <charset val="1"/>
      </rPr>
      <t xml:space="preserve">guidance</t>
    </r>
    <r>
      <rPr>
        <sz val="10"/>
        <rFont val="Noto Sans CJK SC"/>
        <family val="2"/>
      </rPr>
      <t xml:space="preserve">、</t>
    </r>
    <r>
      <rPr>
        <sz val="10"/>
        <rFont val="Arial"/>
        <family val="0"/>
        <charset val="1"/>
      </rPr>
      <t xml:space="preserve">S5 weak-link </t>
    </r>
    <r>
      <rPr>
        <sz val="10"/>
        <rFont val="Noto Sans CJK SC"/>
        <family val="2"/>
      </rPr>
      <t xml:space="preserve">触发条件弱化、</t>
    </r>
    <r>
      <rPr>
        <sz val="10"/>
        <rFont val="Arial"/>
        <family val="0"/>
        <charset val="1"/>
      </rPr>
      <t xml:space="preserve">S7 reporting basis </t>
    </r>
    <r>
      <rPr>
        <sz val="10"/>
        <rFont val="Noto Sans CJK SC"/>
        <family val="2"/>
      </rPr>
      <t xml:space="preserve">可比性。待其他 </t>
    </r>
    <r>
      <rPr>
        <sz val="10"/>
        <rFont val="Arial"/>
        <family val="0"/>
        <charset val="1"/>
      </rPr>
      <t xml:space="preserve">change</t>
    </r>
    <r>
      <rPr>
        <sz val="10"/>
        <rFont val="Noto Sans CJK SC"/>
        <family val="2"/>
      </rPr>
      <t xml:space="preserve">：</t>
    </r>
    <r>
      <rPr>
        <sz val="10"/>
        <rFont val="Arial"/>
        <family val="0"/>
        <charset val="1"/>
      </rPr>
      <t xml:space="preserve">S9 geographic diversity </t>
    </r>
    <r>
      <rPr>
        <sz val="10"/>
        <rFont val="Noto Sans CJK SC"/>
        <family val="2"/>
      </rPr>
      <t xml:space="preserve">归属。</t>
    </r>
  </si>
  <si>
    <r>
      <rPr>
        <sz val="10"/>
        <rFont val="Noto Sans CJK SC"/>
        <family val="2"/>
      </rPr>
      <t xml:space="preserve">理论上 </t>
    </r>
    <r>
      <rPr>
        <sz val="10"/>
        <rFont val="Arial"/>
        <family val="0"/>
        <charset val="1"/>
      </rPr>
      <t xml:space="preserve">#1 </t>
    </r>
    <r>
      <rPr>
        <sz val="10"/>
        <rFont val="Noto Sans CJK SC"/>
        <family val="2"/>
      </rPr>
      <t xml:space="preserve">的 </t>
    </r>
    <r>
      <rPr>
        <sz val="10"/>
        <rFont val="Arial"/>
        <family val="0"/>
        <charset val="1"/>
      </rPr>
      <t xml:space="preserve">rating impact </t>
    </r>
    <r>
      <rPr>
        <sz val="10"/>
        <rFont val="Noto Sans CJK SC"/>
        <family val="2"/>
      </rPr>
      <t xml:space="preserve">极低：</t>
    </r>
    <r>
      <rPr>
        <sz val="10"/>
        <rFont val="Arial"/>
        <family val="0"/>
        <charset val="1"/>
      </rPr>
      <t xml:space="preserve">CR 1–3 </t>
    </r>
    <r>
      <rPr>
        <sz val="10"/>
        <rFont val="Noto Sans CJK SC"/>
        <family val="2"/>
      </rPr>
      <t xml:space="preserve">对 </t>
    </r>
    <r>
      <rPr>
        <sz val="10"/>
        <rFont val="Arial"/>
        <family val="0"/>
        <charset val="1"/>
      </rPr>
      <t xml:space="preserve">CICRA </t>
    </r>
    <r>
      <rPr>
        <sz val="10"/>
        <rFont val="Noto Sans CJK SC"/>
        <family val="2"/>
      </rPr>
      <t xml:space="preserve">中性，且最终 </t>
    </r>
    <r>
      <rPr>
        <sz val="10"/>
        <rFont val="Arial"/>
        <family val="0"/>
        <charset val="1"/>
      </rPr>
      <t xml:space="preserve">integer rounding </t>
    </r>
    <r>
      <rPr>
        <sz val="10"/>
        <rFont val="Noto Sans CJK SC"/>
        <family val="2"/>
      </rPr>
      <t xml:space="preserve">吸收大部分变动；</t>
    </r>
    <r>
      <rPr>
        <sz val="10"/>
        <rFont val="Arial"/>
        <family val="0"/>
        <charset val="1"/>
      </rPr>
      <t xml:space="preserve">impact </t>
    </r>
    <r>
      <rPr>
        <sz val="10"/>
        <rFont val="Noto Sans CJK SC"/>
        <family val="2"/>
      </rPr>
      <t xml:space="preserve">集中在 </t>
    </r>
    <r>
      <rPr>
        <sz val="10"/>
        <rFont val="Arial"/>
        <family val="0"/>
        <charset val="1"/>
      </rPr>
      <t xml:space="preserve">weighted average </t>
    </r>
    <r>
      <rPr>
        <sz val="10"/>
        <rFont val="Noto Sans CJK SC"/>
        <family val="2"/>
      </rPr>
      <t xml:space="preserve">位于 </t>
    </r>
    <r>
      <rPr>
        <sz val="10"/>
        <rFont val="Arial"/>
        <family val="0"/>
        <charset val="1"/>
      </rPr>
      <t xml:space="preserve">x.5 </t>
    </r>
    <r>
      <rPr>
        <sz val="10"/>
        <rFont val="Noto Sans CJK SC"/>
        <family val="2"/>
      </rPr>
      <t xml:space="preserve">附近且含高风险国家 </t>
    </r>
    <r>
      <rPr>
        <sz val="10"/>
        <rFont val="Arial"/>
        <family val="0"/>
        <charset val="1"/>
      </rPr>
      <t xml:space="preserve">exposure </t>
    </r>
    <r>
      <rPr>
        <sz val="10"/>
        <rFont val="Noto Sans CJK SC"/>
        <family val="2"/>
      </rPr>
      <t xml:space="preserve">的 </t>
    </r>
    <r>
      <rPr>
        <sz val="10"/>
        <rFont val="Arial"/>
        <family val="0"/>
        <charset val="1"/>
      </rPr>
      <t xml:space="preserve">entity</t>
    </r>
    <r>
      <rPr>
        <sz val="10"/>
        <rFont val="Noto Sans CJK SC"/>
        <family val="2"/>
      </rPr>
      <t xml:space="preserve">，以及失去 </t>
    </r>
    <r>
      <rPr>
        <sz val="10"/>
        <rFont val="Arial"/>
        <family val="0"/>
        <charset val="1"/>
      </rPr>
      <t xml:space="preserve">upward </t>
    </r>
    <r>
      <rPr>
        <sz val="10"/>
        <rFont val="Noto Sans CJK SC"/>
        <family val="2"/>
      </rPr>
      <t xml:space="preserve">机制的 </t>
    </r>
    <r>
      <rPr>
        <sz val="10"/>
        <rFont val="Arial"/>
        <family val="0"/>
        <charset val="1"/>
      </rPr>
      <t xml:space="preserve">11 </t>
    </r>
    <r>
      <rPr>
        <sz val="10"/>
        <rFont val="Noto Sans CJK SC"/>
        <family val="2"/>
      </rPr>
      <t xml:space="preserve">个已知 </t>
    </r>
    <r>
      <rPr>
        <sz val="10"/>
        <rFont val="Arial"/>
        <family val="0"/>
        <charset val="1"/>
      </rPr>
      <t xml:space="preserve">entity</t>
    </r>
    <r>
      <rPr>
        <sz val="10"/>
        <rFont val="Noto Sans CJK SC"/>
        <family val="2"/>
      </rPr>
      <t xml:space="preserve">。</t>
    </r>
  </si>
  <si>
    <t xml:space="preserve">部分完成（定性完成，概率待数据）</t>
  </si>
  <si>
    <r>
      <rPr>
        <sz val="10"/>
        <rFont val="Arial"/>
        <family val="0"/>
        <charset val="1"/>
      </rPr>
      <t xml:space="preserve">Test rationale</t>
    </r>
    <r>
      <rPr>
        <sz val="10"/>
        <rFont val="Noto Sans CJK SC"/>
        <family val="2"/>
      </rPr>
      <t xml:space="preserve">；</t>
    </r>
    <r>
      <rPr>
        <sz val="10"/>
        <rFont val="Arial"/>
        <family val="0"/>
        <charset val="1"/>
      </rPr>
      <t xml:space="preserve">Section 2 "Credit stability" </t>
    </r>
    <r>
      <rPr>
        <sz val="10"/>
        <rFont val="Noto Sans CJK SC"/>
        <family val="2"/>
      </rPr>
      <t xml:space="preserve">与 </t>
    </r>
    <r>
      <rPr>
        <sz val="10"/>
        <rFont val="Arial"/>
        <family val="0"/>
        <charset val="1"/>
      </rPr>
      <t xml:space="preserve">"Expected rating impact" </t>
    </r>
    <r>
      <rPr>
        <sz val="10"/>
        <rFont val="Noto Sans CJK SC"/>
        <family val="2"/>
      </rPr>
      <t xml:space="preserve">行</t>
    </r>
  </si>
  <si>
    <t xml:space="preserve">7</t>
  </si>
  <si>
    <t xml:space="preserve">ICR sensitivity / ECS / cliff risk</t>
  </si>
  <si>
    <t xml:space="preserve">ICR sensitivity testing to hypothetical factor changes (ECS or cliff risk)</t>
  </si>
  <si>
    <r>
      <rPr>
        <sz val="10"/>
        <rFont val="Arial"/>
        <family val="0"/>
        <charset val="1"/>
      </rPr>
      <t xml:space="preserve">Corporate Methodology Table 1</t>
    </r>
    <r>
      <rPr>
        <sz val="10"/>
        <rFont val="Noto Sans CJK SC"/>
        <family val="2"/>
      </rPr>
      <t xml:space="preserve">、</t>
    </r>
    <r>
      <rPr>
        <sz val="10"/>
        <rFont val="Arial"/>
        <family val="0"/>
        <charset val="1"/>
      </rPr>
      <t xml:space="preserve">Table 2</t>
    </r>
    <r>
      <rPr>
        <sz val="10"/>
        <rFont val="Noto Sans CJK SC"/>
        <family val="2"/>
      </rPr>
      <t xml:space="preserve">、</t>
    </r>
    <r>
      <rPr>
        <sz val="10"/>
        <rFont val="Arial"/>
        <family val="0"/>
        <charset val="1"/>
      </rPr>
      <t xml:space="preserve">Table 3</t>
    </r>
    <r>
      <rPr>
        <sz val="10"/>
        <rFont val="Noto Sans CJK SC"/>
        <family val="2"/>
      </rPr>
      <t xml:space="preserve">、</t>
    </r>
    <r>
      <rPr>
        <sz val="10"/>
        <rFont val="Arial"/>
        <family val="0"/>
        <charset val="1"/>
      </rPr>
      <t xml:space="preserve">para 30</t>
    </r>
    <r>
      <rPr>
        <sz val="10"/>
        <rFont val="Noto Sans CJK SC"/>
        <family val="2"/>
      </rPr>
      <t xml:space="preserve">。</t>
    </r>
  </si>
  <si>
    <r>
      <rPr>
        <sz val="10"/>
        <rFont val="Arial"/>
        <family val="0"/>
        <charset val="1"/>
      </rPr>
      <t xml:space="preserve">Table 3 </t>
    </r>
    <r>
      <rPr>
        <sz val="10"/>
        <rFont val="Noto Sans CJK SC"/>
        <family val="2"/>
      </rPr>
      <t xml:space="preserve">在 </t>
    </r>
    <r>
      <rPr>
        <sz val="10"/>
        <rFont val="Arial"/>
        <family val="0"/>
        <charset val="1"/>
      </rPr>
      <t xml:space="preserve">#7 </t>
    </r>
    <r>
      <rPr>
        <sz val="10"/>
        <rFont val="Noto Sans CJK SC"/>
        <family val="2"/>
      </rPr>
      <t xml:space="preserve">下的新版本（</t>
    </r>
    <r>
      <rPr>
        <sz val="10"/>
        <rFont val="Arial"/>
        <family val="0"/>
        <charset val="1"/>
      </rPr>
      <t xml:space="preserve">split anchors </t>
    </r>
    <r>
      <rPr>
        <sz val="10"/>
        <rFont val="Noto Sans CJK SC"/>
        <family val="2"/>
      </rPr>
      <t xml:space="preserve">扩展后重算）；边界区 </t>
    </r>
    <r>
      <rPr>
        <sz val="10"/>
        <rFont val="Arial"/>
        <family val="0"/>
        <charset val="1"/>
      </rPr>
      <t xml:space="preserve">entity </t>
    </r>
    <r>
      <rPr>
        <sz val="10"/>
        <rFont val="Noto Sans CJK SC"/>
        <family val="2"/>
      </rPr>
      <t xml:space="preserve">数量。</t>
    </r>
  </si>
  <si>
    <r>
      <rPr>
        <sz val="10"/>
        <rFont val="Noto Sans CJK SC"/>
        <family val="2"/>
      </rPr>
      <t xml:space="preserve">已完成 </t>
    </r>
    <r>
      <rPr>
        <sz val="10"/>
        <rFont val="Arial"/>
        <family val="0"/>
        <charset val="1"/>
      </rPr>
      <t xml:space="preserve">Table 1 → Table 2 → Table 3 </t>
    </r>
    <r>
      <rPr>
        <sz val="10"/>
        <rFont val="Noto Sans CJK SC"/>
        <family val="2"/>
      </rPr>
      <t xml:space="preserve">的传导计算（见 </t>
    </r>
    <r>
      <rPr>
        <sz val="10"/>
        <rFont val="Arial"/>
        <family val="0"/>
        <charset val="1"/>
      </rPr>
      <t xml:space="preserve">7_Sensitivity</t>
    </r>
    <r>
      <rPr>
        <sz val="10"/>
        <rFont val="Noto Sans CJK SC"/>
        <family val="2"/>
      </rPr>
      <t xml:space="preserve">，含公式）。</t>
    </r>
    <r>
      <rPr>
        <sz val="10"/>
        <rFont val="Arial"/>
        <family val="0"/>
        <charset val="1"/>
      </rPr>
      <t xml:space="preserve">Country risk </t>
    </r>
    <r>
      <rPr>
        <sz val="10"/>
        <rFont val="Noto Sans CJK SC"/>
        <family val="2"/>
      </rPr>
      <t xml:space="preserve">恶化一个 </t>
    </r>
    <r>
      <rPr>
        <sz val="10"/>
        <rFont val="Arial"/>
        <family val="0"/>
        <charset val="1"/>
      </rPr>
      <t xml:space="preserve">category</t>
    </r>
    <r>
      <rPr>
        <sz val="10"/>
        <rFont val="Noto Sans CJK SC"/>
        <family val="2"/>
      </rPr>
      <t xml:space="preserve">：</t>
    </r>
    <r>
      <rPr>
        <sz val="10"/>
        <rFont val="Arial"/>
        <family val="0"/>
        <charset val="1"/>
      </rPr>
      <t xml:space="preserve">CICRA </t>
    </r>
    <r>
      <rPr>
        <sz val="10"/>
        <rFont val="Noto Sans CJK SC"/>
        <family val="2"/>
      </rPr>
      <t xml:space="preserve">最多跳 </t>
    </r>
    <r>
      <rPr>
        <sz val="10"/>
        <rFont val="Arial"/>
        <family val="0"/>
        <charset val="1"/>
      </rPr>
      <t xml:space="preserve">2 </t>
    </r>
    <r>
      <rPr>
        <sz val="10"/>
        <rFont val="Noto Sans CJK SC"/>
        <family val="2"/>
      </rPr>
      <t xml:space="preserve">级（</t>
    </r>
    <r>
      <rPr>
        <sz val="10"/>
        <rFont val="Arial"/>
        <family val="0"/>
        <charset val="1"/>
      </rPr>
      <t xml:space="preserve">IR 1 </t>
    </r>
    <r>
      <rPr>
        <sz val="10"/>
        <rFont val="Noto Sans CJK SC"/>
        <family val="2"/>
      </rPr>
      <t xml:space="preserve">且 </t>
    </r>
    <r>
      <rPr>
        <sz val="10"/>
        <rFont val="Arial"/>
        <family val="0"/>
        <charset val="1"/>
      </rPr>
      <t xml:space="preserve">CR 4→5</t>
    </r>
    <r>
      <rPr>
        <sz val="10"/>
        <rFont val="Noto Sans CJK SC"/>
        <family val="2"/>
      </rPr>
      <t xml:space="preserve">；</t>
    </r>
    <r>
      <rPr>
        <sz val="10"/>
        <rFont val="Arial"/>
        <family val="0"/>
        <charset val="1"/>
      </rPr>
      <t xml:space="preserve">IR 3 </t>
    </r>
    <r>
      <rPr>
        <sz val="10"/>
        <rFont val="Noto Sans CJK SC"/>
        <family val="2"/>
      </rPr>
      <t xml:space="preserve">且 </t>
    </r>
    <r>
      <rPr>
        <sz val="10"/>
        <rFont val="Arial"/>
        <family val="0"/>
        <charset val="1"/>
      </rPr>
      <t xml:space="preserve">CR 5→6</t>
    </r>
    <r>
      <rPr>
        <sz val="10"/>
        <rFont val="Noto Sans CJK SC"/>
        <family val="2"/>
      </rPr>
      <t xml:space="preserve">），</t>
    </r>
    <r>
      <rPr>
        <sz val="10"/>
        <rFont val="Arial"/>
        <family val="0"/>
        <charset val="1"/>
      </rPr>
      <t xml:space="preserve">BRP </t>
    </r>
    <r>
      <rPr>
        <sz val="10"/>
        <rFont val="Noto Sans CJK SC"/>
        <family val="2"/>
      </rPr>
      <t xml:space="preserve">最多跳 </t>
    </r>
    <r>
      <rPr>
        <sz val="10"/>
        <rFont val="Arial"/>
        <family val="0"/>
        <charset val="1"/>
      </rPr>
      <t xml:space="preserve">3 </t>
    </r>
    <r>
      <rPr>
        <sz val="10"/>
        <rFont val="Noto Sans CJK SC"/>
        <family val="2"/>
      </rPr>
      <t xml:space="preserve">级（</t>
    </r>
    <r>
      <rPr>
        <sz val="10"/>
        <rFont val="Arial"/>
        <family val="0"/>
        <charset val="1"/>
      </rPr>
      <t xml:space="preserve">CICRA 4→6 </t>
    </r>
    <r>
      <rPr>
        <sz val="10"/>
        <rFont val="Noto Sans CJK SC"/>
        <family val="2"/>
      </rPr>
      <t xml:space="preserve">时，</t>
    </r>
    <r>
      <rPr>
        <sz val="10"/>
        <rFont val="Arial"/>
        <family val="0"/>
        <charset val="1"/>
      </rPr>
      <t xml:space="preserve">CP 1 </t>
    </r>
    <r>
      <rPr>
        <sz val="10"/>
        <rFont val="Noto Sans CJK SC"/>
        <family val="2"/>
      </rPr>
      <t xml:space="preserve">为 </t>
    </r>
    <r>
      <rPr>
        <sz val="10"/>
        <rFont val="Arial"/>
        <family val="0"/>
        <charset val="1"/>
      </rPr>
      <t xml:space="preserve">BRP 2→5</t>
    </r>
    <r>
      <rPr>
        <sz val="10"/>
        <rFont val="Noto Sans CJK SC"/>
        <family val="2"/>
      </rPr>
      <t xml:space="preserve">，</t>
    </r>
    <r>
      <rPr>
        <sz val="10"/>
        <rFont val="Arial"/>
        <family val="0"/>
        <charset val="1"/>
      </rPr>
      <t xml:space="preserve">CP 3 </t>
    </r>
    <r>
      <rPr>
        <sz val="10"/>
        <rFont val="Noto Sans CJK SC"/>
        <family val="2"/>
      </rPr>
      <t xml:space="preserve">为 </t>
    </r>
    <r>
      <rPr>
        <sz val="10"/>
        <rFont val="Arial"/>
        <family val="0"/>
        <charset val="1"/>
      </rPr>
      <t xml:space="preserve">BRP 3→6</t>
    </r>
    <r>
      <rPr>
        <sz val="10"/>
        <rFont val="Noto Sans CJK SC"/>
        <family val="2"/>
      </rPr>
      <t xml:space="preserve">），</t>
    </r>
    <r>
      <rPr>
        <sz val="10"/>
        <rFont val="Arial"/>
        <family val="0"/>
        <charset val="1"/>
      </rPr>
      <t xml:space="preserve">anchor </t>
    </r>
    <r>
      <rPr>
        <sz val="10"/>
        <rFont val="Noto Sans CJK SC"/>
        <family val="2"/>
      </rPr>
      <t xml:space="preserve">最多下降 </t>
    </r>
    <r>
      <rPr>
        <sz val="10"/>
        <rFont val="Arial"/>
        <family val="0"/>
        <charset val="1"/>
      </rPr>
      <t xml:space="preserve">8 notch</t>
    </r>
    <r>
      <rPr>
        <sz val="10"/>
        <rFont val="Noto Sans CJK SC"/>
        <family val="2"/>
      </rPr>
      <t xml:space="preserve">（</t>
    </r>
    <r>
      <rPr>
        <sz val="10"/>
        <rFont val="Arial"/>
        <family val="0"/>
        <charset val="1"/>
      </rPr>
      <t xml:space="preserve">IR 3</t>
    </r>
    <r>
      <rPr>
        <sz val="10"/>
        <rFont val="Noto Sans CJK SC"/>
        <family val="2"/>
      </rPr>
      <t xml:space="preserve">、</t>
    </r>
    <r>
      <rPr>
        <sz val="10"/>
        <rFont val="Arial"/>
        <family val="0"/>
        <charset val="1"/>
      </rPr>
      <t xml:space="preserve">CR 5→6</t>
    </r>
    <r>
      <rPr>
        <sz val="10"/>
        <rFont val="Noto Sans CJK SC"/>
        <family val="2"/>
      </rPr>
      <t xml:space="preserve">、</t>
    </r>
    <r>
      <rPr>
        <sz val="10"/>
        <rFont val="Arial"/>
        <family val="0"/>
        <charset val="1"/>
      </rPr>
      <t xml:space="preserve">CP 1</t>
    </r>
    <r>
      <rPr>
        <sz val="10"/>
        <rFont val="Noto Sans CJK SC"/>
        <family val="2"/>
      </rPr>
      <t xml:space="preserve">、</t>
    </r>
    <r>
      <rPr>
        <sz val="10"/>
        <rFont val="Arial"/>
        <family val="0"/>
        <charset val="1"/>
      </rPr>
      <t xml:space="preserve">FRP 1</t>
    </r>
    <r>
      <rPr>
        <sz val="10"/>
        <rFont val="Noto Sans CJK SC"/>
        <family val="2"/>
      </rPr>
      <t xml:space="preserve">：</t>
    </r>
    <r>
      <rPr>
        <sz val="10"/>
        <rFont val="Arial"/>
        <family val="0"/>
        <charset val="1"/>
      </rPr>
      <t xml:space="preserve">CICRA 4→6</t>
    </r>
    <r>
      <rPr>
        <sz val="10"/>
        <rFont val="Noto Sans CJK SC"/>
        <family val="2"/>
      </rPr>
      <t xml:space="preserve">，</t>
    </r>
    <r>
      <rPr>
        <sz val="10"/>
        <rFont val="Arial"/>
        <family val="0"/>
        <charset val="1"/>
      </rPr>
      <t xml:space="preserve">BRP 2→5</t>
    </r>
    <r>
      <rPr>
        <sz val="10"/>
        <rFont val="Noto Sans CJK SC"/>
        <family val="2"/>
      </rPr>
      <t xml:space="preserve">，</t>
    </r>
    <r>
      <rPr>
        <sz val="10"/>
        <rFont val="Arial"/>
        <family val="0"/>
        <charset val="1"/>
      </rPr>
      <t xml:space="preserve">aa/aa- → bb+</t>
    </r>
    <r>
      <rPr>
        <sz val="10"/>
        <rFont val="Noto Sans CJK SC"/>
        <family val="2"/>
      </rPr>
      <t xml:space="preserve">）；常见组合（</t>
    </r>
    <r>
      <rPr>
        <sz val="10"/>
        <rFont val="Arial"/>
        <family val="0"/>
        <charset val="1"/>
      </rPr>
      <t xml:space="preserve">FRP 3</t>
    </r>
    <r>
      <rPr>
        <sz val="10"/>
        <rFont val="Noto Sans CJK SC"/>
        <family val="2"/>
      </rPr>
      <t xml:space="preserve">）下为 </t>
    </r>
    <r>
      <rPr>
        <sz val="10"/>
        <rFont val="Arial"/>
        <family val="0"/>
        <charset val="1"/>
      </rPr>
      <t xml:space="preserve">3–5 notch</t>
    </r>
    <r>
      <rPr>
        <sz val="10"/>
        <rFont val="Noto Sans CJK SC"/>
        <family val="2"/>
      </rPr>
      <t xml:space="preserve">。</t>
    </r>
  </si>
  <si>
    <r>
      <rPr>
        <sz val="10"/>
        <rFont val="Noto Sans CJK SC"/>
        <family val="2"/>
      </rPr>
      <t xml:space="preserve">新 −</t>
    </r>
    <r>
      <rPr>
        <sz val="10"/>
        <rFont val="Arial"/>
        <family val="0"/>
        <charset val="1"/>
      </rPr>
      <t xml:space="preserve">1 notching </t>
    </r>
    <r>
      <rPr>
        <sz val="10"/>
        <rFont val="Noto Sans CJK SC"/>
        <family val="2"/>
      </rPr>
      <t xml:space="preserve">的 </t>
    </r>
    <r>
      <rPr>
        <sz val="10"/>
        <rFont val="Arial"/>
        <family val="0"/>
        <charset val="1"/>
      </rPr>
      <t xml:space="preserve">impact </t>
    </r>
    <r>
      <rPr>
        <sz val="10"/>
        <rFont val="Noto Sans CJK SC"/>
        <family val="2"/>
      </rPr>
      <t xml:space="preserve">不能按 </t>
    </r>
    <r>
      <rPr>
        <sz val="10"/>
        <rFont val="Arial"/>
        <family val="0"/>
        <charset val="1"/>
      </rPr>
      <t xml:space="preserve">"1 notch" </t>
    </r>
    <r>
      <rPr>
        <sz val="10"/>
        <rFont val="Noto Sans CJK SC"/>
        <family val="2"/>
      </rPr>
      <t xml:space="preserve">记：在 </t>
    </r>
    <r>
      <rPr>
        <sz val="10"/>
        <rFont val="Arial"/>
        <family val="0"/>
        <charset val="1"/>
      </rPr>
      <t xml:space="preserve">CR 4–6 </t>
    </r>
    <r>
      <rPr>
        <sz val="10"/>
        <rFont val="Noto Sans CJK SC"/>
        <family val="2"/>
      </rPr>
      <t xml:space="preserve">区间的角落情形，一个 </t>
    </r>
    <r>
      <rPr>
        <sz val="10"/>
        <rFont val="Arial"/>
        <family val="0"/>
        <charset val="1"/>
      </rPr>
      <t xml:space="preserve">category </t>
    </r>
    <r>
      <rPr>
        <sz val="10"/>
        <rFont val="Noto Sans CJK SC"/>
        <family val="2"/>
      </rPr>
      <t xml:space="preserve">的判断可传导为多 </t>
    </r>
    <r>
      <rPr>
        <sz val="10"/>
        <rFont val="Arial"/>
        <family val="0"/>
        <charset val="1"/>
      </rPr>
      <t xml:space="preserve">notch </t>
    </r>
    <r>
      <rPr>
        <sz val="10"/>
        <rFont val="Noto Sans CJK SC"/>
        <family val="2"/>
      </rPr>
      <t xml:space="preserve">的 </t>
    </r>
    <r>
      <rPr>
        <sz val="10"/>
        <rFont val="Arial"/>
        <family val="0"/>
        <charset val="1"/>
      </rPr>
      <t xml:space="preserve">anchor </t>
    </r>
    <r>
      <rPr>
        <sz val="10"/>
        <rFont val="Noto Sans CJK SC"/>
        <family val="2"/>
      </rPr>
      <t xml:space="preserve">变动。该 </t>
    </r>
    <r>
      <rPr>
        <sz val="10"/>
        <rFont val="Arial"/>
        <family val="0"/>
        <charset val="1"/>
      </rPr>
      <t xml:space="preserve">cliff </t>
    </r>
    <r>
      <rPr>
        <sz val="10"/>
        <rFont val="Noto Sans CJK SC"/>
        <family val="2"/>
      </rPr>
      <t xml:space="preserve">是现行 </t>
    </r>
    <r>
      <rPr>
        <sz val="10"/>
        <rFont val="Arial"/>
        <family val="0"/>
        <charset val="1"/>
      </rPr>
      <t xml:space="preserve">Table 1/2 </t>
    </r>
    <r>
      <rPr>
        <sz val="10"/>
        <rFont val="Noto Sans CJK SC"/>
        <family val="2"/>
      </rPr>
      <t xml:space="preserve">的固有结构，</t>
    </r>
    <r>
      <rPr>
        <sz val="10"/>
        <rFont val="Arial"/>
        <family val="0"/>
        <charset val="1"/>
      </rPr>
      <t xml:space="preserve">proposal </t>
    </r>
    <r>
      <rPr>
        <sz val="10"/>
        <rFont val="Noto Sans CJK SC"/>
        <family val="2"/>
      </rPr>
      <t xml:space="preserve">没有扩大 </t>
    </r>
    <r>
      <rPr>
        <sz val="10"/>
        <rFont val="Arial"/>
        <family val="0"/>
        <charset val="1"/>
      </rPr>
      <t xml:space="preserve">envelope</t>
    </r>
    <r>
      <rPr>
        <sz val="10"/>
        <rFont val="Noto Sans CJK SC"/>
        <family val="2"/>
      </rPr>
      <t xml:space="preserve">（</t>
    </r>
    <r>
      <rPr>
        <sz val="10"/>
        <rFont val="Arial"/>
        <family val="0"/>
        <charset val="1"/>
      </rPr>
      <t xml:space="preserve">para 49 </t>
    </r>
    <r>
      <rPr>
        <sz val="10"/>
        <rFont val="Noto Sans CJK SC"/>
        <family val="2"/>
      </rPr>
      <t xml:space="preserve">与 </t>
    </r>
    <r>
      <rPr>
        <sz val="10"/>
        <rFont val="Arial"/>
        <family val="0"/>
        <charset val="1"/>
      </rPr>
      <t xml:space="preserve">para 26 </t>
    </r>
    <r>
      <rPr>
        <sz val="10"/>
        <rFont val="Noto Sans CJK SC"/>
        <family val="2"/>
      </rPr>
      <t xml:space="preserve">同样是 </t>
    </r>
    <r>
      <rPr>
        <sz val="10"/>
        <rFont val="Arial"/>
        <family val="0"/>
        <charset val="1"/>
      </rPr>
      <t xml:space="preserve">1 category </t>
    </r>
    <r>
      <rPr>
        <sz val="10"/>
        <rFont val="Noto Sans CJK SC"/>
        <family val="2"/>
      </rPr>
      <t xml:space="preserve">的机制），但 </t>
    </r>
    <r>
      <rPr>
        <sz val="10"/>
        <rFont val="Arial"/>
        <family val="0"/>
        <charset val="1"/>
      </rPr>
      <t xml:space="preserve">proposal </t>
    </r>
    <r>
      <rPr>
        <sz val="10"/>
        <rFont val="Noto Sans CJK SC"/>
        <family val="2"/>
      </rPr>
      <t xml:space="preserve">把触发权从 </t>
    </r>
    <r>
      <rPr>
        <sz val="10"/>
        <rFont val="Arial"/>
        <family val="0"/>
        <charset val="1"/>
      </rPr>
      <t xml:space="preserve">rule </t>
    </r>
    <r>
      <rPr>
        <sz val="10"/>
        <rFont val="Noto Sans CJK SC"/>
        <family val="2"/>
      </rPr>
      <t xml:space="preserve">交给了 </t>
    </r>
    <r>
      <rPr>
        <sz val="10"/>
        <rFont val="Arial"/>
        <family val="0"/>
        <charset val="1"/>
      </rPr>
      <t xml:space="preserve">judgment</t>
    </r>
    <r>
      <rPr>
        <sz val="10"/>
        <rFont val="Noto Sans CJK SC"/>
        <family val="2"/>
      </rPr>
      <t xml:space="preserve">。</t>
    </r>
  </si>
  <si>
    <r>
      <rPr>
        <sz val="10"/>
        <rFont val="Noto Sans CJK SC"/>
        <family val="2"/>
      </rPr>
      <t xml:space="preserve">已完成（待 </t>
    </r>
    <r>
      <rPr>
        <sz val="10"/>
        <rFont val="Arial"/>
        <family val="0"/>
        <charset val="1"/>
      </rPr>
      <t xml:space="preserve">#7 </t>
    </r>
    <r>
      <rPr>
        <sz val="10"/>
        <rFont val="Noto Sans CJK SC"/>
        <family val="2"/>
      </rPr>
      <t xml:space="preserve">新 </t>
    </r>
    <r>
      <rPr>
        <sz val="10"/>
        <rFont val="Arial"/>
        <family val="0"/>
        <charset val="1"/>
      </rPr>
      <t xml:space="preserve">Table 3 </t>
    </r>
    <r>
      <rPr>
        <sz val="10"/>
        <rFont val="Noto Sans CJK SC"/>
        <family val="2"/>
      </rPr>
      <t xml:space="preserve">复核）</t>
    </r>
  </si>
  <si>
    <r>
      <rPr>
        <sz val="10"/>
        <rFont val="Arial"/>
        <family val="0"/>
        <charset val="1"/>
      </rPr>
      <t xml:space="preserve">Section 2 "Credit stability" </t>
    </r>
    <r>
      <rPr>
        <sz val="10"/>
        <rFont val="Noto Sans CJK SC"/>
        <family val="2"/>
      </rPr>
      <t xml:space="preserve">行；</t>
    </r>
    <r>
      <rPr>
        <sz val="10"/>
        <rFont val="Arial"/>
        <family val="0"/>
        <charset val="1"/>
      </rPr>
      <t xml:space="preserve">Test rationale </t>
    </r>
    <r>
      <rPr>
        <sz val="10"/>
        <rFont val="Noto Sans CJK SC"/>
        <family val="2"/>
      </rPr>
      <t xml:space="preserve">的 </t>
    </r>
    <r>
      <rPr>
        <sz val="10"/>
        <rFont val="Arial"/>
        <family val="0"/>
        <charset val="1"/>
      </rPr>
      <t xml:space="preserve">Notching Adjustment Rationale </t>
    </r>
    <r>
      <rPr>
        <sz val="10"/>
        <rFont val="Noto Sans CJK SC"/>
        <family val="2"/>
      </rPr>
      <t xml:space="preserve">小节；</t>
    </r>
    <r>
      <rPr>
        <sz val="10"/>
        <rFont val="Arial"/>
        <family val="0"/>
        <charset val="1"/>
      </rPr>
      <t xml:space="preserve">Appendix 4 impact </t>
    </r>
    <r>
      <rPr>
        <sz val="10"/>
        <rFont val="Noto Sans CJK SC"/>
        <family val="2"/>
      </rPr>
      <t xml:space="preserve">评分依据</t>
    </r>
  </si>
  <si>
    <t xml:space="preserve">8</t>
  </si>
  <si>
    <t xml:space="preserve">Degree &amp; impact of analytical judgement</t>
  </si>
  <si>
    <t xml:space="preserve">Its degree of analytical judgement</t>
  </si>
  <si>
    <r>
      <rPr>
        <sz val="10"/>
        <rFont val="Arial"/>
        <family val="0"/>
        <charset val="1"/>
      </rPr>
      <t xml:space="preserve">Sept pptx</t>
    </r>
    <r>
      <rPr>
        <sz val="10"/>
        <rFont val="Noto Sans CJK SC"/>
        <family val="2"/>
      </rPr>
      <t xml:space="preserve">；</t>
    </r>
    <r>
      <rPr>
        <sz val="10"/>
        <rFont val="Arial"/>
        <family val="0"/>
        <charset val="1"/>
      </rPr>
      <t xml:space="preserve">Corporate Methodology paras 42</t>
    </r>
    <r>
      <rPr>
        <sz val="10"/>
        <rFont val="Noto Sans CJK SC"/>
        <family val="2"/>
      </rPr>
      <t xml:space="preserve">、</t>
    </r>
    <r>
      <rPr>
        <sz val="10"/>
        <rFont val="Arial"/>
        <family val="0"/>
        <charset val="1"/>
      </rPr>
      <t xml:space="preserve">44–49</t>
    </r>
    <r>
      <rPr>
        <sz val="10"/>
        <rFont val="Noto Sans CJK SC"/>
        <family val="2"/>
      </rPr>
      <t xml:space="preserve">、</t>
    </r>
    <r>
      <rPr>
        <sz val="10"/>
        <rFont val="Arial"/>
        <family val="0"/>
        <charset val="1"/>
      </rPr>
      <t xml:space="preserve">26</t>
    </r>
    <r>
      <rPr>
        <sz val="10"/>
        <rFont val="Noto Sans CJK SC"/>
        <family val="2"/>
      </rPr>
      <t xml:space="preserve">；</t>
    </r>
    <r>
      <rPr>
        <sz val="10"/>
        <rFont val="Arial"/>
        <family val="0"/>
        <charset val="1"/>
      </rPr>
      <t xml:space="preserve">working doc</t>
    </r>
    <r>
      <rPr>
        <sz val="10"/>
        <rFont val="Noto Sans CJK SC"/>
        <family val="2"/>
      </rPr>
      <t xml:space="preserve">（</t>
    </r>
    <r>
      <rPr>
        <sz val="10"/>
        <rFont val="Arial"/>
        <family val="0"/>
        <charset val="1"/>
      </rPr>
      <t xml:space="preserve">Supervisory feedback 2026-03-23</t>
    </r>
    <r>
      <rPr>
        <sz val="10"/>
        <rFont val="Noto Sans CJK SC"/>
        <family val="2"/>
      </rPr>
      <t xml:space="preserve">；</t>
    </r>
    <r>
      <rPr>
        <sz val="10"/>
        <rFont val="Arial"/>
        <family val="0"/>
        <charset val="1"/>
      </rPr>
      <t xml:space="preserve">slide </t>
    </r>
    <r>
      <rPr>
        <sz val="10"/>
        <rFont val="Noto Sans CJK SC"/>
        <family val="2"/>
      </rPr>
      <t xml:space="preserve">中 </t>
    </r>
    <r>
      <rPr>
        <sz val="10"/>
        <rFont val="Arial"/>
        <family val="0"/>
        <charset val="1"/>
      </rPr>
      <t xml:space="preserve">country risk adjustment </t>
    </r>
    <r>
      <rPr>
        <sz val="10"/>
        <rFont val="Noto Sans CJK SC"/>
        <family val="2"/>
      </rPr>
      <t xml:space="preserve">标为 </t>
    </r>
    <r>
      <rPr>
        <sz val="10"/>
        <rFont val="Arial"/>
        <family val="0"/>
        <charset val="1"/>
      </rPr>
      <t xml:space="preserve">"defined judgment"</t>
    </r>
    <r>
      <rPr>
        <sz val="10"/>
        <rFont val="Noto Sans CJK SC"/>
        <family val="2"/>
      </rPr>
      <t xml:space="preserve">）；</t>
    </r>
    <r>
      <rPr>
        <sz val="10"/>
        <rFont val="Arial"/>
        <family val="0"/>
        <charset val="1"/>
      </rPr>
      <t xml:space="preserve">Operational Guidelines </t>
    </r>
    <r>
      <rPr>
        <sz val="10"/>
        <rFont val="Noto Sans CJK SC"/>
        <family val="2"/>
      </rPr>
      <t xml:space="preserve">的 </t>
    </r>
    <r>
      <rPr>
        <sz val="10"/>
        <rFont val="Arial"/>
        <family val="0"/>
        <charset val="1"/>
      </rPr>
      <t xml:space="preserve">AJ scale</t>
    </r>
    <r>
      <rPr>
        <sz val="10"/>
        <rFont val="Noto Sans CJK SC"/>
        <family val="2"/>
      </rPr>
      <t xml:space="preserve">。</t>
    </r>
  </si>
  <si>
    <r>
      <rPr>
        <sz val="10"/>
        <rFont val="Arial"/>
        <family val="0"/>
        <charset val="1"/>
      </rPr>
      <t xml:space="preserve">Draft </t>
    </r>
    <r>
      <rPr>
        <sz val="10"/>
        <rFont val="Noto Sans CJK SC"/>
        <family val="2"/>
      </rPr>
      <t xml:space="preserve">中 −</t>
    </r>
    <r>
      <rPr>
        <sz val="10"/>
        <rFont val="Arial"/>
        <family val="0"/>
        <charset val="1"/>
      </rPr>
      <t xml:space="preserve">1 notching </t>
    </r>
    <r>
      <rPr>
        <sz val="10"/>
        <rFont val="Noto Sans CJK SC"/>
        <family val="2"/>
      </rPr>
      <t xml:space="preserve">与 </t>
    </r>
    <r>
      <rPr>
        <sz val="10"/>
        <rFont val="Arial"/>
        <family val="0"/>
        <charset val="1"/>
      </rPr>
      <t xml:space="preserve">weak-link </t>
    </r>
    <r>
      <rPr>
        <sz val="10"/>
        <rFont val="Noto Sans CJK SC"/>
        <family val="2"/>
      </rPr>
      <t xml:space="preserve">的触发条件、</t>
    </r>
    <r>
      <rPr>
        <sz val="10"/>
        <rFont val="Arial"/>
        <family val="0"/>
        <charset val="1"/>
      </rPr>
      <t xml:space="preserve">documentation </t>
    </r>
    <r>
      <rPr>
        <sz val="10"/>
        <rFont val="Noto Sans CJK SC"/>
        <family val="2"/>
      </rPr>
      <t xml:space="preserve">要求；</t>
    </r>
    <r>
      <rPr>
        <sz val="10"/>
        <rFont val="Arial"/>
        <family val="0"/>
        <charset val="1"/>
      </rPr>
      <t xml:space="preserve">testing </t>
    </r>
    <r>
      <rPr>
        <sz val="10"/>
        <rFont val="Noto Sans CJK SC"/>
        <family val="2"/>
      </rPr>
      <t xml:space="preserve">中 </t>
    </r>
    <r>
      <rPr>
        <sz val="10"/>
        <rFont val="Arial"/>
        <family val="0"/>
        <charset val="1"/>
      </rPr>
      <t xml:space="preserve">notching </t>
    </r>
    <r>
      <rPr>
        <sz val="10"/>
        <rFont val="Noto Sans CJK SC"/>
        <family val="2"/>
      </rPr>
      <t xml:space="preserve">的使用频率。</t>
    </r>
  </si>
  <si>
    <r>
      <rPr>
        <sz val="10"/>
        <rFont val="Noto Sans CJK SC"/>
        <family val="2"/>
      </rPr>
      <t xml:space="preserve">已完成 </t>
    </r>
    <r>
      <rPr>
        <sz val="10"/>
        <rFont val="Arial"/>
        <family val="0"/>
        <charset val="1"/>
      </rPr>
      <t xml:space="preserve">7 </t>
    </r>
    <r>
      <rPr>
        <sz val="10"/>
        <rFont val="Noto Sans CJK SC"/>
        <family val="2"/>
      </rPr>
      <t xml:space="preserve">个 </t>
    </r>
    <r>
      <rPr>
        <sz val="10"/>
        <rFont val="Arial"/>
        <family val="0"/>
        <charset val="1"/>
      </rPr>
      <t xml:space="preserve">AJ </t>
    </r>
    <r>
      <rPr>
        <sz val="10"/>
        <rFont val="Noto Sans CJK SC"/>
        <family val="2"/>
      </rPr>
      <t xml:space="preserve">节点的初评（见 </t>
    </r>
    <r>
      <rPr>
        <sz val="10"/>
        <rFont val="Arial"/>
        <family val="0"/>
        <charset val="1"/>
      </rPr>
      <t xml:space="preserve">8_AJ</t>
    </r>
    <r>
      <rPr>
        <sz val="10"/>
        <rFont val="Noto Sans CJK SC"/>
        <family val="2"/>
      </rPr>
      <t xml:space="preserve">）。</t>
    </r>
    <r>
      <rPr>
        <sz val="10"/>
        <rFont val="Arial"/>
        <family val="0"/>
        <charset val="1"/>
      </rPr>
      <t xml:space="preserve">Removed </t>
    </r>
    <r>
      <rPr>
        <sz val="10"/>
        <rFont val="Noto Sans CJK SC"/>
        <family val="2"/>
      </rPr>
      <t xml:space="preserve">的三个都是 </t>
    </r>
    <r>
      <rPr>
        <sz val="10"/>
        <rFont val="Arial"/>
        <family val="0"/>
        <charset val="1"/>
      </rPr>
      <t xml:space="preserve">rule-based</t>
    </r>
    <r>
      <rPr>
        <sz val="10"/>
        <rFont val="Noto Sans CJK SC"/>
        <family val="2"/>
      </rPr>
      <t xml:space="preserve">（</t>
    </r>
    <r>
      <rPr>
        <sz val="10"/>
        <rFont val="Arial"/>
        <family val="0"/>
        <charset val="1"/>
      </rPr>
      <t xml:space="preserve">para 26</t>
    </r>
    <r>
      <rPr>
        <sz val="10"/>
        <rFont val="Noto Sans CJK SC"/>
        <family val="2"/>
      </rPr>
      <t xml:space="preserve">、</t>
    </r>
    <r>
      <rPr>
        <sz val="10"/>
        <rFont val="Arial"/>
        <family val="0"/>
        <charset val="1"/>
      </rPr>
      <t xml:space="preserve">45</t>
    </r>
    <r>
      <rPr>
        <sz val="10"/>
        <rFont val="Noto Sans CJK SC"/>
        <family val="2"/>
      </rPr>
      <t xml:space="preserve">、</t>
    </r>
    <r>
      <rPr>
        <sz val="10"/>
        <rFont val="Arial"/>
        <family val="0"/>
        <charset val="1"/>
      </rPr>
      <t xml:space="preserve">49</t>
    </r>
    <r>
      <rPr>
        <sz val="10"/>
        <rFont val="Noto Sans CJK SC"/>
        <family val="2"/>
      </rPr>
      <t xml:space="preserve">；</t>
    </r>
    <r>
      <rPr>
        <sz val="10"/>
        <rFont val="Arial"/>
        <family val="0"/>
        <charset val="1"/>
      </rPr>
      <t xml:space="preserve">degree 1–2</t>
    </r>
    <r>
      <rPr>
        <sz val="10"/>
        <rFont val="Noto Sans CJK SC"/>
        <family val="2"/>
      </rPr>
      <t xml:space="preserve">）；新增的 −</t>
    </r>
    <r>
      <rPr>
        <sz val="10"/>
        <rFont val="Arial"/>
        <family val="0"/>
        <charset val="1"/>
      </rPr>
      <t xml:space="preserve">1 notching </t>
    </r>
    <r>
      <rPr>
        <sz val="10"/>
        <rFont val="Noto Sans CJK SC"/>
        <family val="2"/>
      </rPr>
      <t xml:space="preserve">是 </t>
    </r>
    <r>
      <rPr>
        <sz val="10"/>
        <rFont val="Arial"/>
        <family val="0"/>
        <charset val="1"/>
      </rPr>
      <t xml:space="preserve">judgment-based</t>
    </r>
    <r>
      <rPr>
        <sz val="10"/>
        <rFont val="Noto Sans CJK SC"/>
        <family val="2"/>
      </rPr>
      <t xml:space="preserve">（</t>
    </r>
    <r>
      <rPr>
        <sz val="10"/>
        <rFont val="Arial"/>
        <family val="0"/>
        <charset val="1"/>
      </rPr>
      <t xml:space="preserve">degree 3</t>
    </r>
    <r>
      <rPr>
        <sz val="10"/>
        <rFont val="Noto Sans CJK SC"/>
        <family val="2"/>
      </rPr>
      <t xml:space="preserve">，触发条件只有示例）。</t>
    </r>
    <r>
      <rPr>
        <sz val="10"/>
        <rFont val="Arial"/>
        <family val="0"/>
        <charset val="1"/>
      </rPr>
      <t xml:space="preserve">AJ </t>
    </r>
    <r>
      <rPr>
        <sz val="10"/>
        <rFont val="Noto Sans CJK SC"/>
        <family val="2"/>
      </rPr>
      <t xml:space="preserve">节点数量大致不变，但 </t>
    </r>
    <r>
      <rPr>
        <sz val="10"/>
        <rFont val="Arial"/>
        <family val="0"/>
        <charset val="1"/>
      </rPr>
      <t xml:space="preserve">rule-based </t>
    </r>
    <r>
      <rPr>
        <sz val="10"/>
        <rFont val="Noto Sans CJK SC"/>
        <family val="2"/>
      </rPr>
      <t xml:space="preserve">节点换成了 </t>
    </r>
    <r>
      <rPr>
        <sz val="10"/>
        <rFont val="Arial"/>
        <family val="0"/>
        <charset val="1"/>
      </rPr>
      <t xml:space="preserve">judgment-based </t>
    </r>
    <r>
      <rPr>
        <sz val="10"/>
        <rFont val="Noto Sans CJK SC"/>
        <family val="2"/>
      </rPr>
      <t xml:space="preserve">节点。</t>
    </r>
  </si>
  <si>
    <r>
      <rPr>
        <sz val="10"/>
        <rFont val="Noto Sans CJK SC"/>
        <family val="2"/>
      </rPr>
      <t xml:space="preserve">与项目 </t>
    </r>
    <r>
      <rPr>
        <sz val="10"/>
        <rFont val="Arial"/>
        <family val="0"/>
        <charset val="1"/>
      </rPr>
      <t xml:space="preserve">"systematizing analytical judgement" </t>
    </r>
    <r>
      <rPr>
        <sz val="10"/>
        <rFont val="Noto Sans CJK SC"/>
        <family val="2"/>
      </rPr>
      <t xml:space="preserve">的方向存在张力：</t>
    </r>
    <r>
      <rPr>
        <sz val="10"/>
        <rFont val="Arial"/>
        <family val="0"/>
        <charset val="1"/>
      </rPr>
      <t xml:space="preserve">Supervisory </t>
    </r>
    <r>
      <rPr>
        <sz val="10"/>
        <rFont val="Noto Sans CJK SC"/>
        <family val="2"/>
      </rPr>
      <t xml:space="preserve">希望 </t>
    </r>
    <r>
      <rPr>
        <sz val="10"/>
        <rFont val="Arial"/>
        <family val="0"/>
        <charset val="1"/>
      </rPr>
      <t xml:space="preserve">judgment </t>
    </r>
    <r>
      <rPr>
        <sz val="10"/>
        <rFont val="Noto Sans CJK SC"/>
        <family val="2"/>
      </rPr>
      <t xml:space="preserve">集中在少数节点，而 </t>
    </r>
    <r>
      <rPr>
        <sz val="10"/>
        <rFont val="Arial"/>
        <family val="0"/>
        <charset val="1"/>
      </rPr>
      <t xml:space="preserve">#1 </t>
    </r>
    <r>
      <rPr>
        <sz val="10"/>
        <rFont val="Noto Sans CJK SC"/>
        <family val="2"/>
      </rPr>
      <t xml:space="preserve">在 </t>
    </r>
    <r>
      <rPr>
        <sz val="10"/>
        <rFont val="Arial"/>
        <family val="0"/>
        <charset val="1"/>
      </rPr>
      <t xml:space="preserve">factor </t>
    </r>
    <r>
      <rPr>
        <sz val="10"/>
        <rFont val="Noto Sans CJK SC"/>
        <family val="2"/>
      </rPr>
      <t xml:space="preserve">层新增了一个 </t>
    </r>
    <r>
      <rPr>
        <sz val="10"/>
        <rFont val="Arial"/>
        <family val="0"/>
        <charset val="1"/>
      </rPr>
      <t xml:space="preserve">judgment </t>
    </r>
    <r>
      <rPr>
        <sz val="10"/>
        <rFont val="Noto Sans CJK SC"/>
        <family val="2"/>
      </rPr>
      <t xml:space="preserve">节点。除非 </t>
    </r>
    <r>
      <rPr>
        <sz val="10"/>
        <rFont val="Arial"/>
        <family val="0"/>
        <charset val="1"/>
      </rPr>
      <t xml:space="preserve">draft </t>
    </r>
    <r>
      <rPr>
        <sz val="10"/>
        <rFont val="Noto Sans CJK SC"/>
        <family val="2"/>
      </rPr>
      <t xml:space="preserve">给出 </t>
    </r>
    <r>
      <rPr>
        <sz val="10"/>
        <rFont val="Arial"/>
        <family val="0"/>
        <charset val="1"/>
      </rPr>
      <t xml:space="preserve">defined triggers</t>
    </r>
    <r>
      <rPr>
        <sz val="10"/>
        <rFont val="Noto Sans CJK SC"/>
        <family val="2"/>
      </rPr>
      <t xml:space="preserve">，否则这是 </t>
    </r>
    <r>
      <rPr>
        <sz val="10"/>
        <rFont val="Arial"/>
        <family val="0"/>
        <charset val="1"/>
      </rPr>
      <t xml:space="preserve">Comment </t>
    </r>
    <r>
      <rPr>
        <sz val="10"/>
        <rFont val="Noto Sans CJK SC"/>
        <family val="2"/>
      </rPr>
      <t xml:space="preserve">候选（参照 </t>
    </r>
    <r>
      <rPr>
        <sz val="10"/>
        <rFont val="Arial"/>
        <family val="0"/>
        <charset val="1"/>
      </rPr>
      <t xml:space="preserve">CP-49 Comment 7</t>
    </r>
    <r>
      <rPr>
        <sz val="10"/>
        <rFont val="Noto Sans CJK SC"/>
        <family val="2"/>
      </rPr>
      <t xml:space="preserve">）。</t>
    </r>
  </si>
  <si>
    <r>
      <rPr>
        <sz val="10"/>
        <rFont val="Noto Sans CJK SC"/>
        <family val="2"/>
      </rPr>
      <t xml:space="preserve">初步（待 </t>
    </r>
    <r>
      <rPr>
        <sz val="10"/>
        <rFont val="Arial"/>
        <family val="0"/>
        <charset val="1"/>
      </rPr>
      <t xml:space="preserve">draft</t>
    </r>
    <r>
      <rPr>
        <sz val="10"/>
        <rFont val="Noto Sans CJK SC"/>
        <family val="2"/>
      </rPr>
      <t xml:space="preserve">）</t>
    </r>
  </si>
  <si>
    <r>
      <rPr>
        <sz val="10"/>
        <rFont val="Arial"/>
        <family val="0"/>
        <charset val="1"/>
      </rPr>
      <t xml:space="preserve">Test #5 / Appendix 4</t>
    </r>
    <r>
      <rPr>
        <sz val="10"/>
        <rFont val="Noto Sans CJK SC"/>
        <family val="2"/>
      </rPr>
      <t xml:space="preserve">；</t>
    </r>
    <r>
      <rPr>
        <sz val="10"/>
        <rFont val="Arial"/>
        <family val="0"/>
        <charset val="1"/>
      </rPr>
      <t xml:space="preserve">Section 2 "Validity of the key rating factors" </t>
    </r>
    <r>
      <rPr>
        <sz val="10"/>
        <rFont val="Noto Sans CJK SC"/>
        <family val="2"/>
      </rPr>
      <t xml:space="preserve">行</t>
    </r>
  </si>
  <si>
    <t xml:space="preserve">9</t>
  </si>
  <si>
    <r>
      <rPr>
        <sz val="10"/>
        <rFont val="Arial"/>
        <family val="0"/>
        <charset val="1"/>
      </rPr>
      <t xml:space="preserve">Wording &amp; logic review</t>
    </r>
    <r>
      <rPr>
        <sz val="10"/>
        <rFont val="Noto Sans CJK SC"/>
        <family val="2"/>
      </rPr>
      <t xml:space="preserve">（</t>
    </r>
    <r>
      <rPr>
        <sz val="10"/>
        <rFont val="Arial"/>
        <family val="0"/>
        <charset val="1"/>
      </rPr>
      <t xml:space="preserve">Comments </t>
    </r>
    <r>
      <rPr>
        <sz val="10"/>
        <rFont val="Noto Sans CJK SC"/>
        <family val="2"/>
      </rPr>
      <t xml:space="preserve">来源）</t>
    </r>
  </si>
  <si>
    <r>
      <rPr>
        <sz val="10"/>
        <rFont val="Noto Sans CJK SC"/>
        <family val="2"/>
      </rPr>
      <t xml:space="preserve">—（</t>
    </r>
    <r>
      <rPr>
        <sz val="10"/>
        <rFont val="Arial"/>
        <family val="0"/>
        <charset val="1"/>
      </rPr>
      <t xml:space="preserve">Gregoire step 3</t>
    </r>
    <r>
      <rPr>
        <sz val="10"/>
        <rFont val="Noto Sans CJK SC"/>
        <family val="2"/>
      </rPr>
      <t xml:space="preserve">）</t>
    </r>
  </si>
  <si>
    <r>
      <rPr>
        <sz val="10"/>
        <rFont val="Arial"/>
        <family val="0"/>
        <charset val="1"/>
      </rPr>
      <t xml:space="preserve">AQV </t>
    </r>
    <r>
      <rPr>
        <sz val="10"/>
        <rFont val="Noto Sans CJK SC"/>
        <family val="2"/>
      </rPr>
      <t xml:space="preserve">自做；输出只指出问题（</t>
    </r>
    <r>
      <rPr>
        <sz val="10"/>
        <rFont val="Arial"/>
        <family val="0"/>
        <charset val="1"/>
      </rPr>
      <t xml:space="preserve">Ground Rule G</t>
    </r>
    <r>
      <rPr>
        <sz val="10"/>
        <rFont val="Noto Sans CJK SC"/>
        <family val="2"/>
      </rPr>
      <t xml:space="preserve">）</t>
    </r>
  </si>
  <si>
    <r>
      <rPr>
        <sz val="10"/>
        <rFont val="Arial"/>
        <family val="0"/>
        <charset val="1"/>
      </rPr>
      <t xml:space="preserve">Sept pptx</t>
    </r>
    <r>
      <rPr>
        <sz val="10"/>
        <rFont val="Noto Sans CJK SC"/>
        <family val="2"/>
      </rPr>
      <t xml:space="preserve">；</t>
    </r>
    <r>
      <rPr>
        <sz val="10"/>
        <rFont val="Arial"/>
        <family val="0"/>
        <charset val="1"/>
      </rPr>
      <t xml:space="preserve">July deck Slide 11–12</t>
    </r>
    <r>
      <rPr>
        <sz val="10"/>
        <rFont val="Noto Sans CJK SC"/>
        <family val="2"/>
      </rPr>
      <t xml:space="preserve">；</t>
    </r>
    <r>
      <rPr>
        <sz val="10"/>
        <rFont val="Arial"/>
        <family val="0"/>
        <charset val="1"/>
      </rPr>
      <t xml:space="preserve">Corporate Methodology</t>
    </r>
    <r>
      <rPr>
        <sz val="10"/>
        <rFont val="Noto Sans CJK SC"/>
        <family val="2"/>
      </rPr>
      <t xml:space="preserve">；</t>
    </r>
    <r>
      <rPr>
        <sz val="10"/>
        <rFont val="Arial"/>
        <family val="0"/>
        <charset val="1"/>
      </rPr>
      <t xml:space="preserve">FI methodology</t>
    </r>
    <r>
      <rPr>
        <sz val="10"/>
        <rFont val="Noto Sans CJK SC"/>
        <family val="2"/>
      </rPr>
      <t xml:space="preserve">；</t>
    </r>
    <r>
      <rPr>
        <sz val="10"/>
        <rFont val="Arial"/>
        <family val="0"/>
        <charset val="1"/>
      </rPr>
      <t xml:space="preserve">C&amp;G RAS</t>
    </r>
    <r>
      <rPr>
        <sz val="10"/>
        <rFont val="Noto Sans CJK SC"/>
        <family val="2"/>
      </rPr>
      <t xml:space="preserve">。</t>
    </r>
  </si>
  <si>
    <r>
      <rPr>
        <sz val="10"/>
        <rFont val="Arial"/>
        <family val="0"/>
        <charset val="1"/>
      </rPr>
      <t xml:space="preserve">RFC draft</t>
    </r>
    <r>
      <rPr>
        <sz val="10"/>
        <rFont val="Noto Sans CJK SC"/>
        <family val="2"/>
      </rPr>
      <t xml:space="preserve">（大部分观察点要在 </t>
    </r>
    <r>
      <rPr>
        <sz val="10"/>
        <rFont val="Arial"/>
        <family val="0"/>
        <charset val="1"/>
      </rPr>
      <t xml:space="preserve">draft </t>
    </r>
    <r>
      <rPr>
        <sz val="10"/>
        <rFont val="Noto Sans CJK SC"/>
        <family val="2"/>
      </rPr>
      <t xml:space="preserve">文本上确认）。</t>
    </r>
  </si>
  <si>
    <r>
      <rPr>
        <sz val="10"/>
        <rFont val="Noto Sans CJK SC"/>
        <family val="2"/>
      </rPr>
      <t xml:space="preserve">已列 </t>
    </r>
    <r>
      <rPr>
        <sz val="10"/>
        <rFont val="Arial"/>
        <family val="0"/>
        <charset val="1"/>
      </rPr>
      <t xml:space="preserve">13 </t>
    </r>
    <r>
      <rPr>
        <sz val="10"/>
        <rFont val="Noto Sans CJK SC"/>
        <family val="2"/>
      </rPr>
      <t xml:space="preserve">个观察点（见 </t>
    </r>
    <r>
      <rPr>
        <sz val="10"/>
        <rFont val="Arial"/>
        <family val="0"/>
        <charset val="1"/>
      </rPr>
      <t xml:space="preserve">9_Wording</t>
    </r>
    <r>
      <rPr>
        <sz val="10"/>
        <rFont val="Noto Sans CJK SC"/>
        <family val="2"/>
      </rPr>
      <t xml:space="preserve">）：</t>
    </r>
    <r>
      <rPr>
        <sz val="10"/>
        <rFont val="Arial"/>
        <family val="0"/>
        <charset val="1"/>
      </rPr>
      <t xml:space="preserve">deck </t>
    </r>
    <r>
      <rPr>
        <sz val="10"/>
        <rFont val="Noto Sans CJK SC"/>
        <family val="2"/>
      </rPr>
      <t xml:space="preserve">间不一致、</t>
    </r>
    <r>
      <rPr>
        <sz val="10"/>
        <rFont val="Arial"/>
        <family val="0"/>
        <charset val="1"/>
      </rPr>
      <t xml:space="preserve">para </t>
    </r>
    <r>
      <rPr>
        <sz val="10"/>
        <rFont val="Noto Sans CJK SC"/>
        <family val="2"/>
      </rPr>
      <t xml:space="preserve">编号不一致、</t>
    </r>
    <r>
      <rPr>
        <sz val="10"/>
        <rFont val="Arial"/>
        <family val="0"/>
        <charset val="1"/>
      </rPr>
      <t xml:space="preserve">"Rating impact: NONE" </t>
    </r>
    <r>
      <rPr>
        <sz val="10"/>
        <rFont val="Noto Sans CJK SC"/>
        <family val="2"/>
      </rPr>
      <t xml:space="preserve">无测试支持、定义澄清、</t>
    </r>
    <r>
      <rPr>
        <sz val="10"/>
        <rFont val="Arial"/>
        <family val="0"/>
        <charset val="1"/>
      </rPr>
      <t xml:space="preserve">weak-link </t>
    </r>
    <r>
      <rPr>
        <sz val="10"/>
        <rFont val="Noto Sans CJK SC"/>
        <family val="2"/>
      </rPr>
      <t xml:space="preserve">与 </t>
    </r>
    <r>
      <rPr>
        <sz val="10"/>
        <rFont val="Arial"/>
        <family val="0"/>
        <charset val="1"/>
      </rPr>
      <t xml:space="preserve">notching </t>
    </r>
    <r>
      <rPr>
        <sz val="10"/>
        <rFont val="Noto Sans CJK SC"/>
        <family val="2"/>
      </rPr>
      <t xml:space="preserve">触发条件缺失、</t>
    </r>
    <r>
      <rPr>
        <sz val="10"/>
        <rFont val="Arial"/>
        <family val="0"/>
        <charset val="1"/>
      </rPr>
      <t xml:space="preserve">rounding </t>
    </r>
    <r>
      <rPr>
        <sz val="10"/>
        <rFont val="Noto Sans CJK SC"/>
        <family val="2"/>
      </rPr>
      <t xml:space="preserve">规则缺失、</t>
    </r>
    <r>
      <rPr>
        <sz val="10"/>
        <rFont val="Arial"/>
        <family val="0"/>
        <charset val="1"/>
      </rPr>
      <t xml:space="preserve">regional score </t>
    </r>
    <r>
      <rPr>
        <sz val="10"/>
        <rFont val="Noto Sans CJK SC"/>
        <family val="2"/>
      </rPr>
      <t xml:space="preserve">计算方法缺失、</t>
    </r>
    <r>
      <rPr>
        <sz val="10"/>
        <rFont val="Arial"/>
        <family val="0"/>
        <charset val="1"/>
      </rPr>
      <t xml:space="preserve">paras 45/47/50/51 </t>
    </r>
    <r>
      <rPr>
        <sz val="10"/>
        <rFont val="Noto Sans CJK SC"/>
        <family val="2"/>
      </rPr>
      <t xml:space="preserve">去向、</t>
    </r>
    <r>
      <rPr>
        <sz val="10"/>
        <rFont val="Arial"/>
        <family val="0"/>
        <charset val="1"/>
      </rPr>
      <t xml:space="preserve">para 26 </t>
    </r>
    <r>
      <rPr>
        <sz val="10"/>
        <rFont val="Noto Sans CJK SC"/>
        <family val="2"/>
      </rPr>
      <t xml:space="preserve">的 </t>
    </r>
    <r>
      <rPr>
        <sz val="10"/>
        <rFont val="Arial"/>
        <family val="0"/>
        <charset val="1"/>
      </rPr>
      <t xml:space="preserve">SACP </t>
    </r>
    <r>
      <rPr>
        <sz val="10"/>
        <rFont val="Noto Sans CJK SC"/>
        <family val="2"/>
      </rPr>
      <t xml:space="preserve">影响、</t>
    </r>
    <r>
      <rPr>
        <sz val="10"/>
        <rFont val="Arial"/>
        <family val="0"/>
        <charset val="1"/>
      </rPr>
      <t xml:space="preserve">S/S/D double-counting </t>
    </r>
    <r>
      <rPr>
        <sz val="10"/>
        <rFont val="Noto Sans CJK SC"/>
        <family val="2"/>
      </rPr>
      <t xml:space="preserve">论证、</t>
    </r>
    <r>
      <rPr>
        <sz val="10"/>
        <rFont val="Arial"/>
        <family val="0"/>
        <charset val="1"/>
      </rPr>
      <t xml:space="preserve">para 87 </t>
    </r>
    <r>
      <rPr>
        <sz val="10"/>
        <rFont val="Noto Sans CJK SC"/>
        <family val="2"/>
      </rPr>
      <t xml:space="preserve">措辞依赖、</t>
    </r>
    <r>
      <rPr>
        <sz val="10"/>
        <rFont val="Arial"/>
        <family val="0"/>
        <charset val="1"/>
      </rPr>
      <t xml:space="preserve">"CICRA 1–3 </t>
    </r>
    <r>
      <rPr>
        <sz val="10"/>
        <rFont val="Noto Sans CJK SC"/>
        <family val="2"/>
      </rPr>
      <t xml:space="preserve">不做分析</t>
    </r>
    <r>
      <rPr>
        <sz val="10"/>
        <rFont val="Arial"/>
        <family val="0"/>
        <charset val="1"/>
      </rPr>
      <t xml:space="preserve">" </t>
    </r>
    <r>
      <rPr>
        <sz val="10"/>
        <rFont val="Noto Sans CJK SC"/>
        <family val="2"/>
      </rPr>
      <t xml:space="preserve">是否放弃、</t>
    </r>
    <r>
      <rPr>
        <sz val="10"/>
        <rFont val="Arial"/>
        <family val="0"/>
        <charset val="1"/>
      </rPr>
      <t xml:space="preserve">"supply-chain country missing" </t>
    </r>
    <r>
      <rPr>
        <sz val="10"/>
        <rFont val="Noto Sans CJK SC"/>
        <family val="2"/>
      </rPr>
      <t xml:space="preserve">与 </t>
    </r>
    <r>
      <rPr>
        <sz val="10"/>
        <rFont val="Arial"/>
        <family val="0"/>
        <charset val="1"/>
      </rPr>
      <t xml:space="preserve">para 44 </t>
    </r>
    <r>
      <rPr>
        <sz val="10"/>
        <rFont val="Noto Sans CJK SC"/>
        <family val="2"/>
      </rPr>
      <t xml:space="preserve">矛盾。</t>
    </r>
  </si>
  <si>
    <r>
      <rPr>
        <sz val="10"/>
        <rFont val="Noto Sans CJK SC"/>
        <family val="2"/>
      </rPr>
      <t xml:space="preserve">目前的观察点都基于 </t>
    </r>
    <r>
      <rPr>
        <sz val="10"/>
        <rFont val="Arial"/>
        <family val="0"/>
        <charset val="1"/>
      </rPr>
      <t xml:space="preserve">deck</t>
    </r>
    <r>
      <rPr>
        <sz val="10"/>
        <rFont val="Noto Sans CJK SC"/>
        <family val="2"/>
      </rPr>
      <t xml:space="preserve">，正式 </t>
    </r>
    <r>
      <rPr>
        <sz val="10"/>
        <rFont val="Arial"/>
        <family val="0"/>
        <charset val="1"/>
      </rPr>
      <t xml:space="preserve">Comment </t>
    </r>
    <r>
      <rPr>
        <sz val="10"/>
        <rFont val="Noto Sans CJK SC"/>
        <family val="2"/>
      </rPr>
      <t xml:space="preserve">要等 </t>
    </r>
    <r>
      <rPr>
        <sz val="10"/>
        <rFont val="Arial"/>
        <family val="0"/>
        <charset val="1"/>
      </rPr>
      <t xml:space="preserve">draft</t>
    </r>
    <r>
      <rPr>
        <sz val="10"/>
        <rFont val="Noto Sans CJK SC"/>
        <family val="2"/>
      </rPr>
      <t xml:space="preserve">。</t>
    </r>
  </si>
  <si>
    <r>
      <rPr>
        <sz val="10"/>
        <rFont val="Noto Sans CJK SC"/>
        <family val="2"/>
      </rPr>
      <t xml:space="preserve">可推进（</t>
    </r>
    <r>
      <rPr>
        <sz val="10"/>
        <rFont val="Arial"/>
        <family val="0"/>
        <charset val="1"/>
      </rPr>
      <t xml:space="preserve">deck </t>
    </r>
    <r>
      <rPr>
        <sz val="10"/>
        <rFont val="Noto Sans CJK SC"/>
        <family val="2"/>
      </rPr>
      <t xml:space="preserve">层面完成）</t>
    </r>
  </si>
  <si>
    <t xml:space="preserve">Section 4 Comments</t>
  </si>
  <si>
    <t xml:space="preserve">10</t>
  </si>
  <si>
    <r>
      <rPr>
        <sz val="10"/>
        <rFont val="Arial"/>
        <family val="0"/>
        <charset val="1"/>
      </rPr>
      <t xml:space="preserve">Impact analysis </t>
    </r>
    <r>
      <rPr>
        <sz val="10"/>
        <rFont val="Noto Sans CJK SC"/>
        <family val="2"/>
      </rPr>
      <t xml:space="preserve">审阅（</t>
    </r>
    <r>
      <rPr>
        <sz val="10"/>
        <rFont val="Arial"/>
        <family val="0"/>
        <charset val="1"/>
      </rPr>
      <t xml:space="preserve">Gregoire step 4</t>
    </r>
    <r>
      <rPr>
        <sz val="10"/>
        <rFont val="Noto Sans CJK SC"/>
        <family val="2"/>
      </rPr>
      <t xml:space="preserve">）</t>
    </r>
  </si>
  <si>
    <t xml:space="preserve">Impact testing: what really drives the change?</t>
  </si>
  <si>
    <r>
      <rPr>
        <sz val="10"/>
        <rFont val="Arial"/>
        <family val="0"/>
        <charset val="1"/>
      </rPr>
      <t xml:space="preserve">Squad </t>
    </r>
    <r>
      <rPr>
        <sz val="10"/>
        <rFont val="Noto Sans CJK SC"/>
        <family val="2"/>
      </rPr>
      <t xml:space="preserve">做，</t>
    </r>
    <r>
      <rPr>
        <sz val="10"/>
        <rFont val="Arial"/>
        <family val="0"/>
        <charset val="1"/>
      </rPr>
      <t xml:space="preserve">AQV </t>
    </r>
    <r>
      <rPr>
        <sz val="10"/>
        <rFont val="Noto Sans CJK SC"/>
        <family val="2"/>
      </rPr>
      <t xml:space="preserve">审：独立核对 </t>
    </r>
    <r>
      <rPr>
        <sz val="10"/>
        <rFont val="Arial"/>
        <family val="0"/>
        <charset val="1"/>
      </rPr>
      <t xml:space="preserve">scope</t>
    </r>
    <r>
      <rPr>
        <sz val="10"/>
        <rFont val="Noto Sans CJK SC"/>
        <family val="2"/>
      </rPr>
      <t xml:space="preserve">、</t>
    </r>
    <r>
      <rPr>
        <sz val="10"/>
        <rFont val="Arial"/>
        <family val="0"/>
        <charset val="1"/>
      </rPr>
      <t xml:space="preserve">attest sample </t>
    </r>
    <r>
      <rPr>
        <sz val="10"/>
        <rFont val="Noto Sans CJK SC"/>
        <family val="2"/>
      </rPr>
      <t xml:space="preserve">与 </t>
    </r>
    <r>
      <rPr>
        <sz val="10"/>
        <rFont val="Arial"/>
        <family val="0"/>
        <charset val="1"/>
      </rPr>
      <t xml:space="preserve">computation</t>
    </r>
    <r>
      <rPr>
        <sz val="10"/>
        <rFont val="Noto Sans CJK SC"/>
        <family val="2"/>
      </rPr>
      <t xml:space="preserve">、判断 </t>
    </r>
    <r>
      <rPr>
        <sz val="10"/>
        <rFont val="Arial"/>
        <family val="0"/>
        <charset val="1"/>
      </rPr>
      <t xml:space="preserve">drivers</t>
    </r>
    <r>
      <rPr>
        <sz val="10"/>
        <rFont val="Noto Sans CJK SC"/>
        <family val="2"/>
      </rPr>
      <t xml:space="preserve">、决定是否 </t>
    </r>
    <r>
      <rPr>
        <sz val="10"/>
        <rFont val="Arial"/>
        <family val="0"/>
        <charset val="1"/>
      </rPr>
      <t xml:space="preserve">concur</t>
    </r>
  </si>
  <si>
    <r>
      <rPr>
        <sz val="10"/>
        <rFont val="Arial"/>
        <family val="0"/>
        <charset val="1"/>
      </rPr>
      <t xml:space="preserve">Sept pptx </t>
    </r>
    <r>
      <rPr>
        <sz val="10"/>
        <rFont val="Noto Sans CJK SC"/>
        <family val="2"/>
      </rPr>
      <t xml:space="preserve">的 </t>
    </r>
    <r>
      <rPr>
        <sz val="10"/>
        <rFont val="Arial"/>
        <family val="0"/>
        <charset val="1"/>
      </rPr>
      <t xml:space="preserve">impact </t>
    </r>
    <r>
      <rPr>
        <sz val="10"/>
        <rFont val="Noto Sans CJK SC"/>
        <family val="2"/>
      </rPr>
      <t xml:space="preserve">声明（四处 </t>
    </r>
    <r>
      <rPr>
        <sz val="10"/>
        <rFont val="Arial"/>
        <family val="0"/>
        <charset val="1"/>
      </rPr>
      <t xml:space="preserve">"Rating impact: NONE"</t>
    </r>
    <r>
      <rPr>
        <sz val="10"/>
        <rFont val="Noto Sans CJK SC"/>
        <family val="2"/>
      </rPr>
      <t xml:space="preserve">）；</t>
    </r>
    <r>
      <rPr>
        <sz val="10"/>
        <rFont val="Arial"/>
        <family val="0"/>
        <charset val="1"/>
      </rPr>
      <t xml:space="preserve">memory </t>
    </r>
    <r>
      <rPr>
        <sz val="10"/>
        <rFont val="Noto Sans CJK SC"/>
        <family val="2"/>
      </rPr>
      <t xml:space="preserve">记录的 </t>
    </r>
    <r>
      <rPr>
        <sz val="10"/>
        <rFont val="Arial"/>
        <family val="0"/>
        <charset val="1"/>
      </rPr>
      <t xml:space="preserve">testing </t>
    </r>
    <r>
      <rPr>
        <sz val="10"/>
        <rFont val="Noto Sans CJK SC"/>
        <family val="2"/>
      </rPr>
      <t xml:space="preserve">安排（</t>
    </r>
    <r>
      <rPr>
        <sz val="10"/>
        <rFont val="Arial"/>
        <family val="0"/>
        <charset val="1"/>
      </rPr>
      <t xml:space="preserve">~500 entities</t>
    </r>
    <r>
      <rPr>
        <sz val="10"/>
        <rFont val="Noto Sans CJK SC"/>
        <family val="2"/>
      </rPr>
      <t xml:space="preserve">，</t>
    </r>
    <r>
      <rPr>
        <sz val="10"/>
        <rFont val="Arial"/>
        <family val="0"/>
        <charset val="1"/>
      </rPr>
      <t xml:space="preserve">CCST for testing</t>
    </r>
    <r>
      <rPr>
        <sz val="10"/>
        <rFont val="Noto Sans CJK SC"/>
        <family val="2"/>
      </rPr>
      <t xml:space="preserve">，</t>
    </r>
    <r>
      <rPr>
        <sz val="10"/>
        <rFont val="Arial"/>
        <family val="0"/>
        <charset val="1"/>
      </rPr>
      <t xml:space="preserve">9/7–10/26</t>
    </r>
    <r>
      <rPr>
        <sz val="10"/>
        <rFont val="Noto Sans CJK SC"/>
        <family val="2"/>
      </rPr>
      <t xml:space="preserve">）。</t>
    </r>
  </si>
  <si>
    <r>
      <rPr>
        <sz val="10"/>
        <rFont val="Arial"/>
        <family val="0"/>
        <charset val="1"/>
      </rPr>
      <t xml:space="preserve">Testing </t>
    </r>
    <r>
      <rPr>
        <sz val="10"/>
        <rFont val="Noto Sans CJK SC"/>
        <family val="2"/>
      </rPr>
      <t xml:space="preserve">输出的 </t>
    </r>
    <r>
      <rPr>
        <sz val="10"/>
        <rFont val="Arial"/>
        <family val="0"/>
        <charset val="1"/>
      </rPr>
      <t xml:space="preserve">entity-level before/after</t>
    </r>
    <r>
      <rPr>
        <sz val="10"/>
        <rFont val="Noto Sans CJK SC"/>
        <family val="2"/>
      </rPr>
      <t xml:space="preserve">（</t>
    </r>
    <r>
      <rPr>
        <sz val="10"/>
        <rFont val="Arial"/>
        <family val="0"/>
        <charset val="1"/>
      </rPr>
      <t xml:space="preserve">CR score</t>
    </r>
    <r>
      <rPr>
        <sz val="10"/>
        <rFont val="Noto Sans CJK SC"/>
        <family val="2"/>
      </rPr>
      <t xml:space="preserve">、</t>
    </r>
    <r>
      <rPr>
        <sz val="10"/>
        <rFont val="Arial"/>
        <family val="0"/>
        <charset val="1"/>
      </rPr>
      <t xml:space="preserve">CICRA</t>
    </r>
    <r>
      <rPr>
        <sz val="10"/>
        <rFont val="Noto Sans CJK SC"/>
        <family val="2"/>
      </rPr>
      <t xml:space="preserve">、</t>
    </r>
    <r>
      <rPr>
        <sz val="10"/>
        <rFont val="Arial"/>
        <family val="0"/>
        <charset val="1"/>
      </rPr>
      <t xml:space="preserve">BRP</t>
    </r>
    <r>
      <rPr>
        <sz val="10"/>
        <rFont val="Noto Sans CJK SC"/>
        <family val="2"/>
      </rPr>
      <t xml:space="preserve">、</t>
    </r>
    <r>
      <rPr>
        <sz val="10"/>
        <rFont val="Arial"/>
        <family val="0"/>
        <charset val="1"/>
      </rPr>
      <t xml:space="preserve">anchor</t>
    </r>
    <r>
      <rPr>
        <sz val="10"/>
        <rFont val="Noto Sans CJK SC"/>
        <family val="2"/>
      </rPr>
      <t xml:space="preserve">、</t>
    </r>
    <r>
      <rPr>
        <sz val="10"/>
        <rFont val="Arial"/>
        <family val="0"/>
        <charset val="1"/>
      </rPr>
      <t xml:space="preserve">SACP</t>
    </r>
    <r>
      <rPr>
        <sz val="10"/>
        <rFont val="Noto Sans CJK SC"/>
        <family val="2"/>
      </rPr>
      <t xml:space="preserve">、</t>
    </r>
    <r>
      <rPr>
        <sz val="10"/>
        <rFont val="Arial"/>
        <family val="0"/>
        <charset val="1"/>
      </rPr>
      <t xml:space="preserve">ICR</t>
    </r>
    <r>
      <rPr>
        <sz val="10"/>
        <rFont val="Noto Sans CJK SC"/>
        <family val="2"/>
      </rPr>
      <t xml:space="preserve">）；样本构成；</t>
    </r>
    <r>
      <rPr>
        <sz val="10"/>
        <rFont val="Arial"/>
        <family val="0"/>
        <charset val="1"/>
      </rPr>
      <t xml:space="preserve">CCST </t>
    </r>
    <r>
      <rPr>
        <sz val="10"/>
        <rFont val="Noto Sans CJK SC"/>
        <family val="2"/>
      </rPr>
      <t xml:space="preserve">计算规则；</t>
    </r>
    <r>
      <rPr>
        <sz val="10"/>
        <rFont val="Arial"/>
        <family val="0"/>
        <charset val="1"/>
      </rPr>
      <t xml:space="preserve">para 26 / para 49 </t>
    </r>
    <r>
      <rPr>
        <sz val="10"/>
        <rFont val="Noto Sans CJK SC"/>
        <family val="2"/>
      </rPr>
      <t xml:space="preserve">名单。</t>
    </r>
  </si>
  <si>
    <r>
      <rPr>
        <sz val="10"/>
        <rFont val="Noto Sans CJK SC"/>
        <family val="2"/>
      </rPr>
      <t xml:space="preserve">尚无 </t>
    </r>
    <r>
      <rPr>
        <sz val="10"/>
        <rFont val="Arial"/>
        <family val="0"/>
        <charset val="1"/>
      </rPr>
      <t xml:space="preserve">testing </t>
    </r>
    <r>
      <rPr>
        <sz val="10"/>
        <rFont val="Noto Sans CJK SC"/>
        <family val="2"/>
      </rPr>
      <t xml:space="preserve">输出。已准备核对方法：（</t>
    </r>
    <r>
      <rPr>
        <sz val="10"/>
        <rFont val="Arial"/>
        <family val="0"/>
        <charset val="1"/>
      </rPr>
      <t xml:space="preserve">i</t>
    </r>
    <r>
      <rPr>
        <sz val="10"/>
        <rFont val="Noto Sans CJK SC"/>
        <family val="2"/>
      </rPr>
      <t xml:space="preserve">）核对 </t>
    </r>
    <r>
      <rPr>
        <sz val="10"/>
        <rFont val="Arial"/>
        <family val="0"/>
        <charset val="1"/>
      </rPr>
      <t xml:space="preserve">in-scope </t>
    </r>
    <r>
      <rPr>
        <sz val="10"/>
        <rFont val="Noto Sans CJK SC"/>
        <family val="2"/>
      </rPr>
      <t xml:space="preserve">名单与 </t>
    </r>
    <r>
      <rPr>
        <sz val="10"/>
        <rFont val="Arial"/>
        <family val="0"/>
        <charset val="1"/>
      </rPr>
      <t xml:space="preserve">scope statement</t>
    </r>
    <r>
      <rPr>
        <sz val="10"/>
        <rFont val="Noto Sans CJK SC"/>
        <family val="2"/>
      </rPr>
      <t xml:space="preserve">；（</t>
    </r>
    <r>
      <rPr>
        <sz val="10"/>
        <rFont val="Arial"/>
        <family val="0"/>
        <charset val="1"/>
      </rPr>
      <t xml:space="preserve">ii</t>
    </r>
    <r>
      <rPr>
        <sz val="10"/>
        <rFont val="Noto Sans CJK SC"/>
        <family val="2"/>
      </rPr>
      <t xml:space="preserve">）检查样本是否超配 </t>
    </r>
    <r>
      <rPr>
        <sz val="10"/>
        <rFont val="Arial"/>
        <family val="0"/>
        <charset val="1"/>
      </rPr>
      <t xml:space="preserve">CR ≥4</t>
    </r>
    <r>
      <rPr>
        <sz val="10"/>
        <rFont val="Noto Sans CJK SC"/>
        <family val="2"/>
      </rPr>
      <t xml:space="preserve">、</t>
    </r>
    <r>
      <rPr>
        <sz val="10"/>
        <rFont val="Arial"/>
        <family val="0"/>
        <charset val="1"/>
      </rPr>
      <t xml:space="preserve">multi-country</t>
    </r>
    <r>
      <rPr>
        <sz val="10"/>
        <rFont val="Noto Sans CJK SC"/>
        <family val="2"/>
      </rPr>
      <t xml:space="preserve">、含 </t>
    </r>
    <r>
      <rPr>
        <sz val="10"/>
        <rFont val="Arial"/>
        <family val="0"/>
        <charset val="1"/>
      </rPr>
      <t xml:space="preserve">sub-5% exposure </t>
    </r>
    <r>
      <rPr>
        <sz val="10"/>
        <rFont val="Noto Sans CJK SC"/>
        <family val="2"/>
      </rPr>
      <t xml:space="preserve">的 </t>
    </r>
    <r>
      <rPr>
        <sz val="10"/>
        <rFont val="Arial"/>
        <family val="0"/>
        <charset val="1"/>
      </rPr>
      <t xml:space="preserve">entity</t>
    </r>
    <r>
      <rPr>
        <sz val="10"/>
        <rFont val="Noto Sans CJK SC"/>
        <family val="2"/>
      </rPr>
      <t xml:space="preserve">；（</t>
    </r>
    <r>
      <rPr>
        <sz val="10"/>
        <rFont val="Arial"/>
        <family val="0"/>
        <charset val="1"/>
      </rPr>
      <t xml:space="preserve">iii</t>
    </r>
    <r>
      <rPr>
        <sz val="10"/>
        <rFont val="Noto Sans CJK SC"/>
        <family val="2"/>
      </rPr>
      <t xml:space="preserve">）抽 </t>
    </r>
    <r>
      <rPr>
        <sz val="10"/>
        <rFont val="Arial"/>
        <family val="0"/>
        <charset val="1"/>
      </rPr>
      <t xml:space="preserve">5–10 </t>
    </r>
    <r>
      <rPr>
        <sz val="10"/>
        <rFont val="Noto Sans CJK SC"/>
        <family val="2"/>
      </rPr>
      <t xml:space="preserve">个 </t>
    </r>
    <r>
      <rPr>
        <sz val="10"/>
        <rFont val="Arial"/>
        <family val="0"/>
        <charset val="1"/>
      </rPr>
      <t xml:space="preserve">entity </t>
    </r>
    <r>
      <rPr>
        <sz val="10"/>
        <rFont val="Noto Sans CJK SC"/>
        <family val="2"/>
      </rPr>
      <t xml:space="preserve">用公开 </t>
    </r>
    <r>
      <rPr>
        <sz val="10"/>
        <rFont val="Arial"/>
        <family val="0"/>
        <charset val="1"/>
      </rPr>
      <t xml:space="preserve">segment data </t>
    </r>
    <r>
      <rPr>
        <sz val="10"/>
        <rFont val="Noto Sans CJK SC"/>
        <family val="2"/>
      </rPr>
      <t xml:space="preserve">重算新方法的 </t>
    </r>
    <r>
      <rPr>
        <sz val="10"/>
        <rFont val="Arial"/>
        <family val="0"/>
        <charset val="1"/>
      </rPr>
      <t xml:space="preserve">CR score</t>
    </r>
    <r>
      <rPr>
        <sz val="10"/>
        <rFont val="Noto Sans CJK SC"/>
        <family val="2"/>
      </rPr>
      <t xml:space="preserve">；（</t>
    </r>
    <r>
      <rPr>
        <sz val="10"/>
        <rFont val="Arial"/>
        <family val="0"/>
        <charset val="1"/>
      </rPr>
      <t xml:space="preserve">iv</t>
    </r>
    <r>
      <rPr>
        <sz val="10"/>
        <rFont val="Noto Sans CJK SC"/>
        <family val="2"/>
      </rPr>
      <t xml:space="preserve">）统计 </t>
    </r>
    <r>
      <rPr>
        <sz val="10"/>
        <rFont val="Arial"/>
        <family val="0"/>
        <charset val="1"/>
      </rPr>
      <t xml:space="preserve">score / CICRA / BRP / anchor </t>
    </r>
    <r>
      <rPr>
        <sz val="10"/>
        <rFont val="Noto Sans CJK SC"/>
        <family val="2"/>
      </rPr>
      <t xml:space="preserve">变动数；（</t>
    </r>
    <r>
      <rPr>
        <sz val="10"/>
        <rFont val="Arial"/>
        <family val="0"/>
        <charset val="1"/>
      </rPr>
      <t xml:space="preserve">v</t>
    </r>
    <r>
      <rPr>
        <sz val="10"/>
        <rFont val="Noto Sans CJK SC"/>
        <family val="2"/>
      </rPr>
      <t xml:space="preserve">）核对 </t>
    </r>
    <r>
      <rPr>
        <sz val="10"/>
        <rFont val="Arial"/>
        <family val="0"/>
        <charset val="1"/>
      </rPr>
      <t xml:space="preserve">para 26 </t>
    </r>
    <r>
      <rPr>
        <sz val="10"/>
        <rFont val="Noto Sans CJK SC"/>
        <family val="2"/>
      </rPr>
      <t xml:space="preserve">两个 </t>
    </r>
    <r>
      <rPr>
        <sz val="10"/>
        <rFont val="Arial"/>
        <family val="0"/>
        <charset val="1"/>
      </rPr>
      <t xml:space="preserve">entity </t>
    </r>
    <r>
      <rPr>
        <sz val="10"/>
        <rFont val="Noto Sans CJK SC"/>
        <family val="2"/>
      </rPr>
      <t xml:space="preserve">的 </t>
    </r>
    <r>
      <rPr>
        <sz val="10"/>
        <rFont val="Arial"/>
        <family val="0"/>
        <charset val="1"/>
      </rPr>
      <t xml:space="preserve">SACP </t>
    </r>
    <r>
      <rPr>
        <sz val="10"/>
        <rFont val="Noto Sans CJK SC"/>
        <family val="2"/>
      </rPr>
      <t xml:space="preserve">变动与 </t>
    </r>
    <r>
      <rPr>
        <sz val="10"/>
        <rFont val="Arial"/>
        <family val="0"/>
        <charset val="1"/>
      </rPr>
      <t xml:space="preserve">support </t>
    </r>
    <r>
      <rPr>
        <sz val="10"/>
        <rFont val="Noto Sans CJK SC"/>
        <family val="2"/>
      </rPr>
      <t xml:space="preserve">逻辑。</t>
    </r>
  </si>
  <si>
    <r>
      <rPr>
        <sz val="10"/>
        <rFont val="Noto Sans CJK SC"/>
        <family val="2"/>
      </rPr>
      <t xml:space="preserve">待 </t>
    </r>
    <r>
      <rPr>
        <sz val="10"/>
        <rFont val="Arial"/>
        <family val="0"/>
        <charset val="1"/>
      </rPr>
      <t xml:space="preserve">testing </t>
    </r>
    <r>
      <rPr>
        <sz val="10"/>
        <rFont val="Noto Sans CJK SC"/>
        <family val="2"/>
      </rPr>
      <t xml:space="preserve">输出。</t>
    </r>
  </si>
  <si>
    <r>
      <rPr>
        <sz val="10"/>
        <rFont val="Arial"/>
        <family val="0"/>
        <charset val="1"/>
      </rPr>
      <t xml:space="preserve">Section 8.1</t>
    </r>
    <r>
      <rPr>
        <sz val="10"/>
        <rFont val="Noto Sans CJK SC"/>
        <family val="2"/>
      </rPr>
      <t xml:space="preserve">；</t>
    </r>
    <r>
      <rPr>
        <sz val="10"/>
        <rFont val="Arial"/>
        <family val="0"/>
        <charset val="1"/>
      </rPr>
      <t xml:space="preserve">Section 2 "Expected rating impact" </t>
    </r>
    <r>
      <rPr>
        <sz val="10"/>
        <rFont val="Noto Sans CJK SC"/>
        <family val="2"/>
      </rPr>
      <t xml:space="preserve">行；</t>
    </r>
    <r>
      <rPr>
        <sz val="10"/>
        <rFont val="Arial"/>
        <family val="0"/>
        <charset val="1"/>
      </rPr>
      <t xml:space="preserve">Test #7</t>
    </r>
  </si>
  <si>
    <t xml:space="preserve">11</t>
  </si>
  <si>
    <r>
      <rPr>
        <sz val="10"/>
        <rFont val="Arial"/>
        <family val="0"/>
        <charset val="1"/>
      </rPr>
      <t xml:space="preserve">Benchmarking</t>
    </r>
    <r>
      <rPr>
        <sz val="10"/>
        <rFont val="Noto Sans CJK SC"/>
        <family val="2"/>
      </rPr>
      <t xml:space="preserve">（内部 </t>
    </r>
    <r>
      <rPr>
        <sz val="10"/>
        <rFont val="Arial"/>
        <family val="0"/>
        <charset val="1"/>
      </rPr>
      <t xml:space="preserve">criteria </t>
    </r>
    <r>
      <rPr>
        <sz val="10"/>
        <rFont val="Noto Sans CJK SC"/>
        <family val="2"/>
      </rPr>
      <t xml:space="preserve">与外部 </t>
    </r>
    <r>
      <rPr>
        <sz val="10"/>
        <rFont val="Arial"/>
        <family val="0"/>
        <charset val="1"/>
      </rPr>
      <t xml:space="preserve">CRA</t>
    </r>
    <r>
      <rPr>
        <sz val="10"/>
        <rFont val="Noto Sans CJK SC"/>
        <family val="2"/>
      </rPr>
      <t xml:space="preserve">）</t>
    </r>
  </si>
  <si>
    <t xml:space="preserve">Conceptual soundness: external benchmarking of credit differentiation</t>
  </si>
  <si>
    <r>
      <rPr>
        <sz val="10"/>
        <rFont val="Noto Sans CJK SC"/>
        <family val="2"/>
      </rPr>
      <t xml:space="preserve">内部：</t>
    </r>
    <r>
      <rPr>
        <sz val="10"/>
        <rFont val="Arial"/>
        <family val="0"/>
        <charset val="1"/>
      </rPr>
      <t xml:space="preserve">FI methodology paras 34–36</t>
    </r>
    <r>
      <rPr>
        <sz val="10"/>
        <rFont val="Noto Sans CJK SC"/>
        <family val="2"/>
      </rPr>
      <t xml:space="preserve">；</t>
    </r>
    <r>
      <rPr>
        <sz val="10"/>
        <rFont val="Arial"/>
        <family val="0"/>
        <charset val="1"/>
      </rPr>
      <t xml:space="preserve">C&amp;G RAS paras 55–58</t>
    </r>
    <r>
      <rPr>
        <sz val="10"/>
        <rFont val="Noto Sans CJK SC"/>
        <family val="2"/>
      </rPr>
      <t xml:space="preserve">；</t>
    </r>
    <r>
      <rPr>
        <sz val="10"/>
        <rFont val="Arial"/>
        <family val="0"/>
        <charset val="1"/>
      </rPr>
      <t xml:space="preserve">Country Risk Assessment criteria para 16</t>
    </r>
    <r>
      <rPr>
        <sz val="10"/>
        <rFont val="Noto Sans CJK SC"/>
        <family val="2"/>
      </rPr>
      <t xml:space="preserve">；</t>
    </r>
    <r>
      <rPr>
        <sz val="10"/>
        <rFont val="Arial"/>
        <family val="0"/>
        <charset val="1"/>
      </rPr>
      <t xml:space="preserve">IHC / Commodities Trading / Project Developers / Real Estate KCF criteria</t>
    </r>
    <r>
      <rPr>
        <sz val="10"/>
        <rFont val="Noto Sans CJK SC"/>
        <family val="2"/>
      </rPr>
      <t xml:space="preserve">。</t>
    </r>
  </si>
  <si>
    <r>
      <rPr>
        <sz val="10"/>
        <rFont val="Noto Sans CJK SC"/>
        <family val="2"/>
      </rPr>
      <t xml:space="preserve">外部：</t>
    </r>
    <r>
      <rPr>
        <sz val="10"/>
        <rFont val="Arial"/>
        <family val="0"/>
        <charset val="1"/>
      </rPr>
      <t xml:space="preserve">Moody's</t>
    </r>
    <r>
      <rPr>
        <sz val="10"/>
        <rFont val="Noto Sans CJK SC"/>
        <family val="2"/>
      </rPr>
      <t xml:space="preserve">、</t>
    </r>
    <r>
      <rPr>
        <sz val="10"/>
        <rFont val="Arial"/>
        <family val="0"/>
        <charset val="1"/>
      </rPr>
      <t xml:space="preserve">Fitch</t>
    </r>
    <r>
      <rPr>
        <sz val="10"/>
        <rFont val="Noto Sans CJK SC"/>
        <family val="2"/>
      </rPr>
      <t xml:space="preserve">、</t>
    </r>
    <r>
      <rPr>
        <sz val="10"/>
        <rFont val="Arial"/>
        <family val="0"/>
        <charset val="1"/>
      </rPr>
      <t xml:space="preserve">Scope </t>
    </r>
    <r>
      <rPr>
        <sz val="10"/>
        <rFont val="Noto Sans CJK SC"/>
        <family val="2"/>
      </rPr>
      <t xml:space="preserve">的 </t>
    </r>
    <r>
      <rPr>
        <sz val="10"/>
        <rFont val="Arial"/>
        <family val="0"/>
        <charset val="1"/>
      </rPr>
      <t xml:space="preserve">corporate methodology </t>
    </r>
    <r>
      <rPr>
        <sz val="10"/>
        <rFont val="Noto Sans CJK SC"/>
        <family val="2"/>
      </rPr>
      <t xml:space="preserve">中 </t>
    </r>
    <r>
      <rPr>
        <sz val="10"/>
        <rFont val="Arial"/>
        <family val="0"/>
        <charset val="1"/>
      </rPr>
      <t xml:space="preserve">country / operating environment risk </t>
    </r>
    <r>
      <rPr>
        <sz val="10"/>
        <rFont val="Noto Sans CJK SC"/>
        <family val="2"/>
      </rPr>
      <t xml:space="preserve">的处理（</t>
    </r>
    <r>
      <rPr>
        <sz val="10"/>
        <rFont val="Arial"/>
        <family val="0"/>
        <charset val="1"/>
      </rPr>
      <t xml:space="preserve">factor</t>
    </r>
    <r>
      <rPr>
        <sz val="10"/>
        <rFont val="Noto Sans CJK SC"/>
        <family val="2"/>
      </rPr>
      <t xml:space="preserve">、</t>
    </r>
    <r>
      <rPr>
        <sz val="10"/>
        <rFont val="Arial"/>
        <family val="0"/>
        <charset val="1"/>
      </rPr>
      <t xml:space="preserve">cap </t>
    </r>
    <r>
      <rPr>
        <sz val="10"/>
        <rFont val="Noto Sans CJK SC"/>
        <family val="2"/>
      </rPr>
      <t xml:space="preserve">还是 </t>
    </r>
    <r>
      <rPr>
        <sz val="10"/>
        <rFont val="Arial"/>
        <family val="0"/>
        <charset val="1"/>
      </rPr>
      <t xml:space="preserve">judgment</t>
    </r>
    <r>
      <rPr>
        <sz val="10"/>
        <rFont val="Noto Sans CJK SC"/>
        <family val="2"/>
      </rPr>
      <t xml:space="preserve">；有无 </t>
    </r>
    <r>
      <rPr>
        <sz val="10"/>
        <rFont val="Arial"/>
        <family val="0"/>
        <charset val="1"/>
      </rPr>
      <t xml:space="preserve">threshold </t>
    </r>
    <r>
      <rPr>
        <sz val="10"/>
        <rFont val="Noto Sans CJK SC"/>
        <family val="2"/>
      </rPr>
      <t xml:space="preserve">与 </t>
    </r>
    <r>
      <rPr>
        <sz val="10"/>
        <rFont val="Arial"/>
        <family val="0"/>
        <charset val="1"/>
      </rPr>
      <t xml:space="preserve">weighted average</t>
    </r>
    <r>
      <rPr>
        <sz val="10"/>
        <rFont val="Noto Sans CJK SC"/>
        <family val="2"/>
      </rPr>
      <t xml:space="preserve">）。</t>
    </r>
  </si>
  <si>
    <r>
      <rPr>
        <sz val="10"/>
        <rFont val="Noto Sans CJK SC"/>
        <family val="2"/>
      </rPr>
      <t xml:space="preserve">内部 </t>
    </r>
    <r>
      <rPr>
        <sz val="10"/>
        <rFont val="Arial"/>
        <family val="0"/>
        <charset val="1"/>
      </rPr>
      <t xml:space="preserve">benchmark </t>
    </r>
    <r>
      <rPr>
        <sz val="10"/>
        <rFont val="Noto Sans CJK SC"/>
        <family val="2"/>
      </rPr>
      <t xml:space="preserve">已完成（见 </t>
    </r>
    <r>
      <rPr>
        <sz val="10"/>
        <rFont val="Arial"/>
        <family val="0"/>
        <charset val="1"/>
      </rPr>
      <t xml:space="preserve">2_11_Benchmarks</t>
    </r>
    <r>
      <rPr>
        <sz val="10"/>
        <rFont val="Noto Sans CJK SC"/>
        <family val="2"/>
      </rPr>
      <t xml:space="preserve">）：</t>
    </r>
    <r>
      <rPr>
        <sz val="10"/>
        <rFont val="Arial"/>
        <family val="0"/>
        <charset val="1"/>
      </rPr>
      <t xml:space="preserve">FI </t>
    </r>
    <r>
      <rPr>
        <sz val="10"/>
        <rFont val="Noto Sans CJK SC"/>
        <family val="2"/>
      </rPr>
      <t xml:space="preserve">保留 </t>
    </r>
    <r>
      <rPr>
        <sz val="10"/>
        <rFont val="Arial"/>
        <family val="0"/>
        <charset val="1"/>
      </rPr>
      <t xml:space="preserve">5% threshold </t>
    </r>
    <r>
      <rPr>
        <sz val="10"/>
        <rFont val="Noto Sans CJK SC"/>
        <family val="2"/>
      </rPr>
      <t xml:space="preserve">与 </t>
    </r>
    <r>
      <rPr>
        <sz val="10"/>
        <rFont val="Arial"/>
        <family val="0"/>
        <charset val="1"/>
      </rPr>
      <t xml:space="preserve">5% rounding</t>
    </r>
    <r>
      <rPr>
        <sz val="10"/>
        <rFont val="Noto Sans CJK SC"/>
        <family val="2"/>
      </rPr>
      <t xml:space="preserve">；</t>
    </r>
    <r>
      <rPr>
        <sz val="10"/>
        <rFont val="Arial"/>
        <family val="0"/>
        <charset val="1"/>
      </rPr>
      <t xml:space="preserve">C&amp;G RAS </t>
    </r>
    <r>
      <rPr>
        <sz val="10"/>
        <rFont val="Noto Sans CJK SC"/>
        <family val="2"/>
      </rPr>
      <t xml:space="preserve">用 </t>
    </r>
    <r>
      <rPr>
        <sz val="10"/>
        <rFont val="Arial"/>
        <family val="0"/>
        <charset val="1"/>
      </rPr>
      <t xml:space="preserve">25% materiality + judgment</t>
    </r>
    <r>
      <rPr>
        <sz val="10"/>
        <rFont val="Noto Sans CJK SC"/>
        <family val="2"/>
      </rPr>
      <t xml:space="preserve">，且 </t>
    </r>
    <r>
      <rPr>
        <sz val="10"/>
        <rFont val="Arial"/>
        <family val="0"/>
        <charset val="1"/>
      </rPr>
      <t xml:space="preserve">+1/−1 </t>
    </r>
    <r>
      <rPr>
        <sz val="10"/>
        <rFont val="Noto Sans CJK SC"/>
        <family val="2"/>
      </rPr>
      <t xml:space="preserve">调整均有 </t>
    </r>
    <r>
      <rPr>
        <sz val="10"/>
        <rFont val="Arial"/>
        <family val="0"/>
        <charset val="1"/>
      </rPr>
      <t xml:space="preserve">defined conditions</t>
    </r>
    <r>
      <rPr>
        <sz val="10"/>
        <rFont val="Noto Sans CJK SC"/>
        <family val="2"/>
      </rPr>
      <t xml:space="preserve">；</t>
    </r>
    <r>
      <rPr>
        <sz val="10"/>
        <rFont val="Arial"/>
        <family val="0"/>
        <charset val="1"/>
      </rPr>
      <t xml:space="preserve">para 57 </t>
    </r>
    <r>
      <rPr>
        <sz val="10"/>
        <rFont val="Noto Sans CJK SC"/>
        <family val="2"/>
      </rPr>
      <t xml:space="preserve">是 </t>
    </r>
    <r>
      <rPr>
        <sz val="10"/>
        <rFont val="Arial"/>
        <family val="0"/>
        <charset val="1"/>
      </rPr>
      <t xml:space="preserve">para 49 </t>
    </r>
    <r>
      <rPr>
        <sz val="10"/>
        <rFont val="Noto Sans CJK SC"/>
        <family val="2"/>
      </rPr>
      <t xml:space="preserve">的镜像。外部 </t>
    </r>
    <r>
      <rPr>
        <sz val="10"/>
        <rFont val="Arial"/>
        <family val="0"/>
        <charset val="1"/>
      </rPr>
      <t xml:space="preserve">benchmark </t>
    </r>
    <r>
      <rPr>
        <sz val="10"/>
        <rFont val="Noto Sans CJK SC"/>
        <family val="2"/>
      </rPr>
      <t xml:space="preserve">未开始。</t>
    </r>
  </si>
  <si>
    <r>
      <rPr>
        <sz val="10"/>
        <rFont val="Noto Sans CJK SC"/>
        <family val="2"/>
      </rPr>
      <t xml:space="preserve">内部 </t>
    </r>
    <r>
      <rPr>
        <sz val="10"/>
        <rFont val="Arial"/>
        <family val="0"/>
        <charset val="1"/>
      </rPr>
      <t xml:space="preserve">benchmark </t>
    </r>
    <r>
      <rPr>
        <sz val="10"/>
        <rFont val="Noto Sans CJK SC"/>
        <family val="2"/>
      </rPr>
      <t xml:space="preserve">显示 </t>
    </r>
    <r>
      <rPr>
        <sz val="10"/>
        <rFont val="Arial"/>
        <family val="0"/>
        <charset val="1"/>
      </rPr>
      <t xml:space="preserve">#1 </t>
    </r>
    <r>
      <rPr>
        <sz val="10"/>
        <rFont val="Noto Sans CJK SC"/>
        <family val="2"/>
      </rPr>
      <t xml:space="preserve">之后 </t>
    </r>
    <r>
      <rPr>
        <sz val="10"/>
        <rFont val="Arial"/>
        <family val="0"/>
        <charset val="1"/>
      </rPr>
      <t xml:space="preserve">corporate </t>
    </r>
    <r>
      <rPr>
        <sz val="10"/>
        <rFont val="Noto Sans CJK SC"/>
        <family val="2"/>
      </rPr>
      <t xml:space="preserve">与 </t>
    </r>
    <r>
      <rPr>
        <sz val="10"/>
        <rFont val="Arial"/>
        <family val="0"/>
        <charset val="1"/>
      </rPr>
      <t xml:space="preserve">FI</t>
    </r>
    <r>
      <rPr>
        <sz val="10"/>
        <rFont val="Noto Sans CJK SC"/>
        <family val="2"/>
      </rPr>
      <t xml:space="preserve">、</t>
    </r>
    <r>
      <rPr>
        <sz val="10"/>
        <rFont val="Arial"/>
        <family val="0"/>
        <charset val="1"/>
      </rPr>
      <t xml:space="preserve">C&amp;G RAS </t>
    </r>
    <r>
      <rPr>
        <sz val="10"/>
        <rFont val="Noto Sans CJK SC"/>
        <family val="2"/>
      </rPr>
      <t xml:space="preserve">在 </t>
    </r>
    <r>
      <rPr>
        <sz val="10"/>
        <rFont val="Arial"/>
        <family val="0"/>
        <charset val="1"/>
      </rPr>
      <t xml:space="preserve">blending </t>
    </r>
    <r>
      <rPr>
        <sz val="10"/>
        <rFont val="Noto Sans CJK SC"/>
        <family val="2"/>
      </rPr>
      <t xml:space="preserve">细节上分叉；分叉本身不是问题，但需要 </t>
    </r>
    <r>
      <rPr>
        <sz val="10"/>
        <rFont val="Arial"/>
        <family val="0"/>
        <charset val="1"/>
      </rPr>
      <t xml:space="preserve">squad </t>
    </r>
    <r>
      <rPr>
        <sz val="10"/>
        <rFont val="Noto Sans CJK SC"/>
        <family val="2"/>
      </rPr>
      <t xml:space="preserve">说明差异的理由。</t>
    </r>
  </si>
  <si>
    <t xml:space="preserve">部分完成（外部待做）</t>
  </si>
  <si>
    <r>
      <rPr>
        <sz val="10"/>
        <rFont val="Arial"/>
        <family val="0"/>
        <charset val="1"/>
      </rPr>
      <t xml:space="preserve">Test rationale</t>
    </r>
    <r>
      <rPr>
        <sz val="10"/>
        <rFont val="Noto Sans CJK SC"/>
        <family val="2"/>
      </rPr>
      <t xml:space="preserve">；</t>
    </r>
    <r>
      <rPr>
        <sz val="10"/>
        <rFont val="Arial"/>
        <family val="0"/>
        <charset val="1"/>
      </rPr>
      <t xml:space="preserve">Section 2 "Relevant benchmarks" </t>
    </r>
    <r>
      <rPr>
        <sz val="10"/>
        <rFont val="Noto Sans CJK SC"/>
        <family val="2"/>
      </rPr>
      <t xml:space="preserve">行</t>
    </r>
  </si>
  <si>
    <t xml:space="preserve">12</t>
  </si>
  <si>
    <t xml:space="preserve">Data &amp; inputs reliability</t>
  </si>
  <si>
    <r>
      <rPr>
        <sz val="10"/>
        <rFont val="Noto Sans CJK SC"/>
        <family val="2"/>
      </rPr>
      <t xml:space="preserve">—（</t>
    </r>
    <r>
      <rPr>
        <sz val="10"/>
        <rFont val="Arial"/>
        <family val="0"/>
        <charset val="1"/>
      </rPr>
      <t xml:space="preserve">template §6.4 / Appendix 3</t>
    </r>
    <r>
      <rPr>
        <sz val="10"/>
        <rFont val="Noto Sans CJK SC"/>
        <family val="2"/>
      </rPr>
      <t xml:space="preserve">）</t>
    </r>
  </si>
  <si>
    <r>
      <rPr>
        <sz val="10"/>
        <rFont val="Arial"/>
        <family val="0"/>
        <charset val="1"/>
      </rPr>
      <t xml:space="preserve">Squad </t>
    </r>
    <r>
      <rPr>
        <sz val="10"/>
        <rFont val="Noto Sans CJK SC"/>
        <family val="2"/>
      </rPr>
      <t xml:space="preserve">的数据，</t>
    </r>
    <r>
      <rPr>
        <sz val="10"/>
        <rFont val="Arial"/>
        <family val="0"/>
        <charset val="1"/>
      </rPr>
      <t xml:space="preserve">AQV </t>
    </r>
    <r>
      <rPr>
        <sz val="10"/>
        <rFont val="Noto Sans CJK SC"/>
        <family val="2"/>
      </rPr>
      <t xml:space="preserve">评估</t>
    </r>
  </si>
  <si>
    <r>
      <rPr>
        <sz val="10"/>
        <rFont val="Arial"/>
        <family val="0"/>
        <charset val="1"/>
      </rPr>
      <t xml:space="preserve">Sept pptx</t>
    </r>
    <r>
      <rPr>
        <sz val="10"/>
        <rFont val="Noto Sans CJK SC"/>
        <family val="2"/>
      </rPr>
      <t xml:space="preserve">（新方法依赖 </t>
    </r>
    <r>
      <rPr>
        <sz val="10"/>
        <rFont val="Arial"/>
        <family val="0"/>
        <charset val="1"/>
      </rPr>
      <t xml:space="preserve">company-reported geographic breakdown</t>
    </r>
    <r>
      <rPr>
        <sz val="10"/>
        <rFont val="Noto Sans CJK SC"/>
        <family val="2"/>
      </rPr>
      <t xml:space="preserve">；</t>
    </r>
    <r>
      <rPr>
        <sz val="10"/>
        <rFont val="Arial"/>
        <family val="0"/>
        <charset val="1"/>
      </rPr>
      <t xml:space="preserve">CCST </t>
    </r>
    <r>
      <rPr>
        <sz val="10"/>
        <rFont val="Noto Sans CJK SC"/>
        <family val="2"/>
      </rPr>
      <t xml:space="preserve">按 </t>
    </r>
    <r>
      <rPr>
        <sz val="10"/>
        <rFont val="Arial"/>
        <family val="0"/>
        <charset val="1"/>
      </rPr>
      <t xml:space="preserve">reported </t>
    </r>
    <r>
      <rPr>
        <sz val="10"/>
        <rFont val="Noto Sans CJK SC"/>
        <family val="2"/>
      </rPr>
      <t xml:space="preserve">输入）。</t>
    </r>
  </si>
  <si>
    <r>
      <rPr>
        <sz val="10"/>
        <rFont val="Arial"/>
        <family val="0"/>
        <charset val="1"/>
      </rPr>
      <t xml:space="preserve">CCST </t>
    </r>
    <r>
      <rPr>
        <sz val="10"/>
        <rFont val="Noto Sans CJK SC"/>
        <family val="2"/>
      </rPr>
      <t xml:space="preserve">输入来源说明；</t>
    </r>
    <r>
      <rPr>
        <sz val="10"/>
        <rFont val="Arial"/>
        <family val="0"/>
        <charset val="1"/>
      </rPr>
      <t xml:space="preserve">testing </t>
    </r>
    <r>
      <rPr>
        <sz val="10"/>
        <rFont val="Noto Sans CJK SC"/>
        <family val="2"/>
      </rPr>
      <t xml:space="preserve">样本中 </t>
    </r>
    <r>
      <rPr>
        <sz val="10"/>
        <rFont val="Arial"/>
        <family val="0"/>
        <charset val="1"/>
      </rPr>
      <t xml:space="preserve">exposure </t>
    </r>
    <r>
      <rPr>
        <sz val="10"/>
        <rFont val="Noto Sans CJK SC"/>
        <family val="2"/>
      </rPr>
      <t xml:space="preserve">数据的来源与缺失处理；未披露时的估算规则。</t>
    </r>
  </si>
  <si>
    <r>
      <rPr>
        <sz val="10"/>
        <rFont val="Arial"/>
        <family val="0"/>
        <charset val="1"/>
      </rPr>
      <t xml:space="preserve">#1 </t>
    </r>
    <r>
      <rPr>
        <sz val="10"/>
        <rFont val="Noto Sans CJK SC"/>
        <family val="2"/>
      </rPr>
      <t xml:space="preserve">不引入新的 </t>
    </r>
    <r>
      <rPr>
        <sz val="10"/>
        <rFont val="Arial"/>
        <family val="0"/>
        <charset val="1"/>
      </rPr>
      <t xml:space="preserve">calibration data</t>
    </r>
    <r>
      <rPr>
        <sz val="10"/>
        <rFont val="Noto Sans CJK SC"/>
        <family val="2"/>
      </rPr>
      <t xml:space="preserve">；</t>
    </r>
    <r>
      <rPr>
        <sz val="10"/>
        <rFont val="Arial"/>
        <family val="0"/>
        <charset val="1"/>
      </rPr>
      <t xml:space="preserve">country risk score </t>
    </r>
    <r>
      <rPr>
        <sz val="10"/>
        <rFont val="Noto Sans CJK SC"/>
        <family val="2"/>
      </rPr>
      <t xml:space="preserve">本身来自 </t>
    </r>
    <r>
      <rPr>
        <sz val="10"/>
        <rFont val="Arial"/>
        <family val="0"/>
        <charset val="1"/>
      </rPr>
      <t xml:space="preserve">Country Risk Assessment criteria</t>
    </r>
    <r>
      <rPr>
        <sz val="10"/>
        <rFont val="Noto Sans CJK SC"/>
        <family val="2"/>
      </rPr>
      <t xml:space="preserve">，</t>
    </r>
    <r>
      <rPr>
        <sz val="10"/>
        <rFont val="Arial"/>
        <family val="0"/>
        <charset val="1"/>
      </rPr>
      <t xml:space="preserve">data aging </t>
    </r>
    <r>
      <rPr>
        <sz val="10"/>
        <rFont val="Noto Sans CJK SC"/>
        <family val="2"/>
      </rPr>
      <t xml:space="preserve">不适用于本 </t>
    </r>
    <r>
      <rPr>
        <sz val="10"/>
        <rFont val="Arial"/>
        <family val="0"/>
        <charset val="1"/>
      </rPr>
      <t xml:space="preserve">change</t>
    </r>
    <r>
      <rPr>
        <sz val="10"/>
        <rFont val="Noto Sans CJK SC"/>
        <family val="2"/>
      </rPr>
      <t xml:space="preserve">。新方法对 </t>
    </r>
    <r>
      <rPr>
        <sz val="10"/>
        <rFont val="Arial"/>
        <family val="0"/>
        <charset val="1"/>
      </rPr>
      <t xml:space="preserve">company-reported segment data</t>
    </r>
    <r>
      <rPr>
        <sz val="10"/>
        <rFont val="Noto Sans CJK SC"/>
        <family val="2"/>
      </rPr>
      <t xml:space="preserve">（</t>
    </r>
    <r>
      <rPr>
        <sz val="10"/>
        <rFont val="Arial"/>
        <family val="0"/>
        <charset val="1"/>
      </rPr>
      <t xml:space="preserve">IFRS 8 / ASC 280</t>
    </r>
    <r>
      <rPr>
        <sz val="10"/>
        <rFont val="Noto Sans CJK SC"/>
        <family val="2"/>
      </rPr>
      <t xml:space="preserve">）的依赖上升，可比性风险见 </t>
    </r>
    <r>
      <rPr>
        <sz val="10"/>
        <rFont val="Arial"/>
        <family val="0"/>
        <charset val="1"/>
      </rPr>
      <t xml:space="preserve">6_Scenarios S7</t>
    </r>
    <r>
      <rPr>
        <sz val="10"/>
        <rFont val="Noto Sans CJK SC"/>
        <family val="2"/>
      </rPr>
      <t xml:space="preserve">。</t>
    </r>
  </si>
  <si>
    <r>
      <rPr>
        <sz val="10"/>
        <rFont val="Arial"/>
        <family val="0"/>
        <charset val="1"/>
      </rPr>
      <t xml:space="preserve">Appendix 3 </t>
    </r>
    <r>
      <rPr>
        <sz val="10"/>
        <rFont val="Noto Sans CJK SC"/>
        <family val="2"/>
      </rPr>
      <t xml:space="preserve">预计写 </t>
    </r>
    <r>
      <rPr>
        <sz val="10"/>
        <rFont val="Arial"/>
        <family val="0"/>
        <charset val="1"/>
      </rPr>
      <t xml:space="preserve">"no data was used in the development of the proposed change"</t>
    </r>
    <r>
      <rPr>
        <sz val="10"/>
        <rFont val="Noto Sans CJK SC"/>
        <family val="2"/>
      </rPr>
      <t xml:space="preserve">（参照 </t>
    </r>
    <r>
      <rPr>
        <sz val="10"/>
        <rFont val="Arial"/>
        <family val="0"/>
        <charset val="1"/>
      </rPr>
      <t xml:space="preserve">CP-64 §6.4 </t>
    </r>
    <r>
      <rPr>
        <sz val="10"/>
        <rFont val="Noto Sans CJK SC"/>
        <family val="2"/>
      </rPr>
      <t xml:space="preserve">的写法）；</t>
    </r>
    <r>
      <rPr>
        <sz val="10"/>
        <rFont val="Arial"/>
        <family val="0"/>
        <charset val="1"/>
      </rPr>
      <t xml:space="preserve">§6.4 </t>
    </r>
    <r>
      <rPr>
        <sz val="10"/>
        <rFont val="Noto Sans CJK SC"/>
        <family val="2"/>
      </rPr>
      <t xml:space="preserve">需说明 </t>
    </r>
    <r>
      <rPr>
        <sz val="10"/>
        <rFont val="Arial"/>
        <family val="0"/>
        <charset val="1"/>
      </rPr>
      <t xml:space="preserve">segment data </t>
    </r>
    <r>
      <rPr>
        <sz val="10"/>
        <rFont val="Noto Sans CJK SC"/>
        <family val="2"/>
      </rPr>
      <t xml:space="preserve">的可靠性与估算规则。</t>
    </r>
  </si>
  <si>
    <r>
      <rPr>
        <sz val="10"/>
        <rFont val="Arial"/>
        <family val="0"/>
        <charset val="1"/>
      </rPr>
      <t xml:space="preserve">§6.4</t>
    </r>
    <r>
      <rPr>
        <sz val="10"/>
        <rFont val="Noto Sans CJK SC"/>
        <family val="2"/>
      </rPr>
      <t xml:space="preserve">；</t>
    </r>
    <r>
      <rPr>
        <sz val="10"/>
        <rFont val="Arial"/>
        <family val="0"/>
        <charset val="1"/>
      </rPr>
      <t xml:space="preserve">Appendix 3</t>
    </r>
  </si>
  <si>
    <r>
      <rPr>
        <b val="true"/>
        <sz val="13"/>
        <rFont val="Noto Sans CJK SC"/>
        <family val="2"/>
      </rPr>
      <t xml:space="preserve">题 </t>
    </r>
    <r>
      <rPr>
        <b val="true"/>
        <sz val="13"/>
        <rFont val="Arial"/>
        <family val="0"/>
        <charset val="1"/>
      </rPr>
      <t xml:space="preserve">1 — Completeness</t>
    </r>
    <r>
      <rPr>
        <b val="true"/>
        <sz val="13"/>
        <rFont val="Noto Sans CJK SC"/>
        <family val="2"/>
      </rPr>
      <t xml:space="preserve">：现行 </t>
    </r>
    <r>
      <rPr>
        <b val="true"/>
        <sz val="13"/>
        <rFont val="Arial"/>
        <family val="0"/>
        <charset val="1"/>
      </rPr>
      <t xml:space="preserve">country risk </t>
    </r>
    <r>
      <rPr>
        <b val="true"/>
        <sz val="13"/>
        <rFont val="Noto Sans CJK SC"/>
        <family val="2"/>
      </rPr>
      <t xml:space="preserve">概念在 </t>
    </r>
    <r>
      <rPr>
        <b val="true"/>
        <sz val="13"/>
        <rFont val="Arial"/>
        <family val="0"/>
        <charset val="1"/>
      </rPr>
      <t xml:space="preserve">proposal </t>
    </r>
    <r>
      <rPr>
        <b val="true"/>
        <sz val="13"/>
        <rFont val="Noto Sans CJK SC"/>
        <family val="2"/>
      </rPr>
      <t xml:space="preserve">中的去向</t>
    </r>
  </si>
  <si>
    <r>
      <rPr>
        <i val="true"/>
        <sz val="9"/>
        <color rgb="FF555555"/>
        <rFont val="Noto Sans CJK SC"/>
        <family val="2"/>
      </rPr>
      <t xml:space="preserve">现行 </t>
    </r>
    <r>
      <rPr>
        <i val="true"/>
        <sz val="9"/>
        <color rgb="FF555555"/>
        <rFont val="Arial"/>
        <family val="0"/>
        <charset val="1"/>
      </rPr>
      <t xml:space="preserve">= Corporate Methodology 2024-01-07</t>
    </r>
    <r>
      <rPr>
        <i val="true"/>
        <sz val="9"/>
        <color rgb="FF555555"/>
        <rFont val="Noto Sans CJK SC"/>
        <family val="2"/>
      </rPr>
      <t xml:space="preserve">；</t>
    </r>
    <r>
      <rPr>
        <i val="true"/>
        <sz val="9"/>
        <color rgb="FF555555"/>
        <rFont val="Arial"/>
        <family val="0"/>
        <charset val="1"/>
      </rPr>
      <t xml:space="preserve">Proposal = Country_Risk_Simplification.pptx</t>
    </r>
    <r>
      <rPr>
        <i val="true"/>
        <sz val="9"/>
        <color rgb="FF555555"/>
        <rFont val="Noto Sans CJK SC"/>
        <family val="2"/>
      </rPr>
      <t xml:space="preserve">（</t>
    </r>
    <r>
      <rPr>
        <i val="true"/>
        <sz val="9"/>
        <color rgb="FF555555"/>
        <rFont val="Arial"/>
        <family val="0"/>
        <charset val="1"/>
      </rPr>
      <t xml:space="preserve">Sept 2026</t>
    </r>
    <r>
      <rPr>
        <i val="true"/>
        <sz val="9"/>
        <color rgb="FF555555"/>
        <rFont val="Noto Sans CJK SC"/>
        <family val="2"/>
      </rPr>
      <t xml:space="preserve">）。去向分类：</t>
    </r>
    <r>
      <rPr>
        <i val="true"/>
        <sz val="9"/>
        <color rgb="FF555555"/>
        <rFont val="Arial"/>
        <family val="0"/>
        <charset val="1"/>
      </rPr>
      <t xml:space="preserve">Retained / Modified / Removed / New / Unclear</t>
    </r>
    <r>
      <rPr>
        <i val="true"/>
        <sz val="9"/>
        <color rgb="FF555555"/>
        <rFont val="Noto Sans CJK SC"/>
        <family val="2"/>
      </rPr>
      <t xml:space="preserve">。</t>
    </r>
  </si>
  <si>
    <t xml:space="preserve">#</t>
  </si>
  <si>
    <t xml:space="preserve">现行位置</t>
  </si>
  <si>
    <t xml:space="preserve">概念</t>
  </si>
  <si>
    <t xml:space="preserve">现行规则摘要</t>
  </si>
  <si>
    <r>
      <rPr>
        <b val="true"/>
        <sz val="10"/>
        <color rgb="FFFFFFFF"/>
        <rFont val="Arial"/>
        <family val="0"/>
        <charset val="1"/>
      </rPr>
      <t xml:space="preserve">Proposal </t>
    </r>
    <r>
      <rPr>
        <b val="true"/>
        <sz val="10"/>
        <color rgb="FFFFFFFF"/>
        <rFont val="Noto Sans CJK SC"/>
        <family val="2"/>
      </rPr>
      <t xml:space="preserve">中的去向</t>
    </r>
  </si>
  <si>
    <r>
      <rPr>
        <b val="true"/>
        <sz val="10"/>
        <color rgb="FFFFFFFF"/>
        <rFont val="Noto Sans CJK SC"/>
        <family val="2"/>
      </rPr>
      <t xml:space="preserve">依据（</t>
    </r>
    <r>
      <rPr>
        <b val="true"/>
        <sz val="10"/>
        <color rgb="FFFFFFFF"/>
        <rFont val="Arial"/>
        <family val="0"/>
        <charset val="1"/>
      </rPr>
      <t xml:space="preserve">pptx</t>
    </r>
    <r>
      <rPr>
        <b val="true"/>
        <sz val="10"/>
        <color rgb="FFFFFFFF"/>
        <rFont val="Noto Sans CJK SC"/>
        <family val="2"/>
      </rPr>
      <t xml:space="preserve">）</t>
    </r>
  </si>
  <si>
    <r>
      <rPr>
        <b val="true"/>
        <sz val="10"/>
        <color rgb="FFFFFFFF"/>
        <rFont val="Arial"/>
        <family val="0"/>
        <charset val="1"/>
      </rPr>
      <t xml:space="preserve">AQV </t>
    </r>
    <r>
      <rPr>
        <b val="true"/>
        <sz val="10"/>
        <color rgb="FFFFFFFF"/>
        <rFont val="Noto Sans CJK SC"/>
        <family val="2"/>
      </rPr>
      <t xml:space="preserve">观察</t>
    </r>
  </si>
  <si>
    <t xml:space="preserve">para 22 / para 40</t>
  </si>
  <si>
    <r>
      <rPr>
        <sz val="10"/>
        <rFont val="Arial"/>
        <family val="0"/>
        <charset val="1"/>
      </rPr>
      <t xml:space="preserve">Country risk </t>
    </r>
    <r>
      <rPr>
        <sz val="10"/>
        <rFont val="Noto Sans CJK SC"/>
        <family val="2"/>
      </rPr>
      <t xml:space="preserve">定义与 </t>
    </r>
    <r>
      <rPr>
        <sz val="10"/>
        <rFont val="Arial"/>
        <family val="0"/>
        <charset val="1"/>
      </rPr>
      <t xml:space="preserve">scale</t>
    </r>
  </si>
  <si>
    <r>
      <rPr>
        <sz val="10"/>
        <rFont val="Noto Sans CJK SC"/>
        <family val="2"/>
      </rPr>
      <t xml:space="preserve">四个 </t>
    </r>
    <r>
      <rPr>
        <sz val="10"/>
        <rFont val="Arial"/>
        <family val="0"/>
        <charset val="1"/>
      </rPr>
      <t xml:space="preserve">subfactor</t>
    </r>
    <r>
      <rPr>
        <sz val="10"/>
        <rFont val="Noto Sans CJK SC"/>
        <family val="2"/>
      </rPr>
      <t xml:space="preserve">（</t>
    </r>
    <r>
      <rPr>
        <sz val="10"/>
        <rFont val="Arial"/>
        <family val="0"/>
        <charset val="1"/>
      </rPr>
      <t xml:space="preserve">economic</t>
    </r>
    <r>
      <rPr>
        <sz val="10"/>
        <rFont val="Noto Sans CJK SC"/>
        <family val="2"/>
      </rPr>
      <t xml:space="preserve">、</t>
    </r>
    <r>
      <rPr>
        <sz val="10"/>
        <rFont val="Arial"/>
        <family val="0"/>
        <charset val="1"/>
      </rPr>
      <t xml:space="preserve">institutional &amp; governance</t>
    </r>
    <r>
      <rPr>
        <sz val="10"/>
        <rFont val="Noto Sans CJK SC"/>
        <family val="2"/>
      </rPr>
      <t xml:space="preserve">、</t>
    </r>
    <r>
      <rPr>
        <sz val="10"/>
        <rFont val="Arial"/>
        <family val="0"/>
        <charset val="1"/>
      </rPr>
      <t xml:space="preserve">financial system</t>
    </r>
    <r>
      <rPr>
        <sz val="10"/>
        <rFont val="Noto Sans CJK SC"/>
        <family val="2"/>
      </rPr>
      <t xml:space="preserve">、</t>
    </r>
    <r>
      <rPr>
        <sz val="10"/>
        <rFont val="Arial"/>
        <family val="0"/>
        <charset val="1"/>
      </rPr>
      <t xml:space="preserve">payment culture / rule of law</t>
    </r>
    <r>
      <rPr>
        <sz val="10"/>
        <rFont val="Noto Sans CJK SC"/>
        <family val="2"/>
      </rPr>
      <t xml:space="preserve">）；</t>
    </r>
    <r>
      <rPr>
        <sz val="10"/>
        <rFont val="Arial"/>
        <family val="0"/>
        <charset val="1"/>
      </rPr>
      <t xml:space="preserve">1–6 scale</t>
    </r>
    <r>
      <rPr>
        <sz val="10"/>
        <rFont val="Noto Sans CJK SC"/>
        <family val="2"/>
      </rPr>
      <t xml:space="preserve">；引用 </t>
    </r>
    <r>
      <rPr>
        <sz val="10"/>
        <rFont val="Arial"/>
        <family val="0"/>
        <charset val="1"/>
      </rPr>
      <t xml:space="preserve">Country Risk Assessment Methodology</t>
    </r>
    <r>
      <rPr>
        <sz val="10"/>
        <rFont val="Noto Sans CJK SC"/>
        <family val="2"/>
      </rPr>
      <t xml:space="preserve">。</t>
    </r>
  </si>
  <si>
    <r>
      <rPr>
        <sz val="10"/>
        <rFont val="Arial"/>
        <family val="0"/>
        <charset val="1"/>
      </rPr>
      <t xml:space="preserve">Retained</t>
    </r>
    <r>
      <rPr>
        <sz val="10"/>
        <rFont val="Noto Sans CJK SC"/>
        <family val="2"/>
      </rPr>
      <t xml:space="preserve">；</t>
    </r>
    <r>
      <rPr>
        <sz val="10"/>
        <rFont val="Arial"/>
        <family val="0"/>
        <charset val="1"/>
      </rPr>
      <t xml:space="preserve">squad </t>
    </r>
    <r>
      <rPr>
        <sz val="10"/>
        <rFont val="Noto Sans CJK SC"/>
        <family val="2"/>
      </rPr>
      <t xml:space="preserve">拟澄清 </t>
    </r>
    <r>
      <rPr>
        <sz val="10"/>
        <rFont val="Arial"/>
        <family val="0"/>
        <charset val="1"/>
      </rPr>
      <t xml:space="preserve">country risk vs sovereign risk </t>
    </r>
    <r>
      <rPr>
        <sz val="10"/>
        <rFont val="Noto Sans CJK SC"/>
        <family val="2"/>
      </rPr>
      <t xml:space="preserve">的定义。</t>
    </r>
  </si>
  <si>
    <t xml:space="preserve">Slide 1 follow-up "Clarify definition of country risk (vs sovereign risk)"</t>
  </si>
  <si>
    <r>
      <rPr>
        <sz val="10"/>
        <rFont val="Noto Sans CJK SC"/>
        <family val="2"/>
      </rPr>
      <t xml:space="preserve">澄清文字需与 </t>
    </r>
    <r>
      <rPr>
        <sz val="10"/>
        <rFont val="Arial"/>
        <family val="0"/>
        <charset val="1"/>
      </rPr>
      <t xml:space="preserve">Country Risk Assessment criteria </t>
    </r>
    <r>
      <rPr>
        <sz val="10"/>
        <rFont val="Noto Sans CJK SC"/>
        <family val="2"/>
      </rPr>
      <t xml:space="preserve">及 </t>
    </r>
    <r>
      <rPr>
        <sz val="10"/>
        <rFont val="Arial"/>
        <family val="0"/>
        <charset val="1"/>
      </rPr>
      <t xml:space="preserve">C&amp;G RAS </t>
    </r>
    <r>
      <rPr>
        <sz val="10"/>
        <rFont val="Noto Sans CJK SC"/>
        <family val="2"/>
      </rPr>
      <t xml:space="preserve">的定义一致；目前无文字。</t>
    </r>
  </si>
  <si>
    <r>
      <rPr>
        <sz val="10"/>
        <rFont val="Noto Sans CJK SC"/>
        <family val="2"/>
      </rPr>
      <t xml:space="preserve">待 </t>
    </r>
    <r>
      <rPr>
        <sz val="10"/>
        <rFont val="Arial"/>
        <family val="0"/>
        <charset val="1"/>
      </rPr>
      <t xml:space="preserve">draft</t>
    </r>
  </si>
  <si>
    <t xml:space="preserve">para 24 / Table 1</t>
  </si>
  <si>
    <r>
      <rPr>
        <sz val="10"/>
        <rFont val="Arial"/>
        <family val="0"/>
        <charset val="1"/>
      </rPr>
      <t xml:space="preserve">CICRA </t>
    </r>
    <r>
      <rPr>
        <sz val="10"/>
        <rFont val="Noto Sans CJK SC"/>
        <family val="2"/>
      </rPr>
      <t xml:space="preserve">合成</t>
    </r>
  </si>
  <si>
    <r>
      <rPr>
        <sz val="10"/>
        <rFont val="Arial"/>
        <family val="0"/>
        <charset val="1"/>
      </rPr>
      <t xml:space="preserve">Country risk × industry risk → CICRA</t>
    </r>
    <r>
      <rPr>
        <sz val="10"/>
        <rFont val="Noto Sans CJK SC"/>
        <family val="2"/>
      </rPr>
      <t xml:space="preserve">；</t>
    </r>
    <r>
      <rPr>
        <sz val="10"/>
        <rFont val="Arial"/>
        <family val="0"/>
        <charset val="1"/>
      </rPr>
      <t xml:space="preserve">CR 1–3 </t>
    </r>
    <r>
      <rPr>
        <sz val="10"/>
        <rFont val="Noto Sans CJK SC"/>
        <family val="2"/>
      </rPr>
      <t xml:space="preserve">对 </t>
    </r>
    <r>
      <rPr>
        <sz val="10"/>
        <rFont val="Arial"/>
        <family val="0"/>
        <charset val="1"/>
      </rPr>
      <t xml:space="preserve">CICRA </t>
    </r>
    <r>
      <rPr>
        <sz val="10"/>
        <rFont val="Noto Sans CJK SC"/>
        <family val="2"/>
      </rPr>
      <t xml:space="preserve">中性。</t>
    </r>
  </si>
  <si>
    <r>
      <rPr>
        <sz val="10"/>
        <rFont val="Arial"/>
        <family val="0"/>
        <charset val="1"/>
      </rPr>
      <t xml:space="preserve">Retained</t>
    </r>
    <r>
      <rPr>
        <sz val="10"/>
        <rFont val="Noto Sans CJK SC"/>
        <family val="2"/>
      </rPr>
      <t xml:space="preserve">（</t>
    </r>
    <r>
      <rPr>
        <sz val="10"/>
        <rFont val="Arial"/>
        <family val="0"/>
        <charset val="1"/>
      </rPr>
      <t xml:space="preserve">pptx </t>
    </r>
    <r>
      <rPr>
        <sz val="10"/>
        <rFont val="Noto Sans CJK SC"/>
        <family val="2"/>
      </rPr>
      <t xml:space="preserve">未提改动）。</t>
    </r>
  </si>
  <si>
    <r>
      <rPr>
        <sz val="10"/>
        <rFont val="Noto Sans CJK SC"/>
        <family val="2"/>
      </rPr>
      <t xml:space="preserve">题 </t>
    </r>
    <r>
      <rPr>
        <sz val="10"/>
        <rFont val="Arial"/>
        <family val="0"/>
        <charset val="1"/>
      </rPr>
      <t xml:space="preserve">4 </t>
    </r>
    <r>
      <rPr>
        <sz val="10"/>
        <rFont val="Noto Sans CJK SC"/>
        <family val="2"/>
      </rPr>
      <t xml:space="preserve">需确认 </t>
    </r>
    <r>
      <rPr>
        <sz val="10"/>
        <rFont val="Arial"/>
        <family val="0"/>
        <charset val="1"/>
      </rPr>
      <t xml:space="preserve">Table 1 </t>
    </r>
    <r>
      <rPr>
        <sz val="10"/>
        <rFont val="Noto Sans CJK SC"/>
        <family val="2"/>
      </rPr>
      <t xml:space="preserve">在 </t>
    </r>
    <r>
      <rPr>
        <sz val="10"/>
        <rFont val="Arial"/>
        <family val="0"/>
        <charset val="1"/>
      </rPr>
      <t xml:space="preserve">CP-72 </t>
    </r>
    <r>
      <rPr>
        <sz val="10"/>
        <rFont val="Noto Sans CJK SC"/>
        <family val="2"/>
      </rPr>
      <t xml:space="preserve">下不变。</t>
    </r>
  </si>
  <si>
    <t xml:space="preserve">已有</t>
  </si>
  <si>
    <r>
      <rPr>
        <sz val="10"/>
        <rFont val="Arial"/>
        <family val="0"/>
        <charset val="1"/>
      </rPr>
      <t xml:space="preserve">para 26 / Table 2 </t>
    </r>
    <r>
      <rPr>
        <sz val="10"/>
        <rFont val="Noto Sans CJK SC"/>
        <family val="2"/>
      </rPr>
      <t xml:space="preserve">脚注</t>
    </r>
  </si>
  <si>
    <r>
      <rPr>
        <sz val="10"/>
        <rFont val="Arial"/>
        <family val="0"/>
        <charset val="1"/>
      </rPr>
      <t xml:space="preserve">CICRA 5 → BRP 2 </t>
    </r>
    <r>
      <rPr>
        <sz val="10"/>
        <rFont val="Noto Sans CJK SC"/>
        <family val="2"/>
      </rPr>
      <t xml:space="preserve">的 </t>
    </r>
    <r>
      <rPr>
        <sz val="10"/>
        <rFont val="Arial"/>
        <family val="0"/>
        <charset val="1"/>
      </rPr>
      <t xml:space="preserve">exception</t>
    </r>
  </si>
  <si>
    <r>
      <rPr>
        <sz val="10"/>
        <rFont val="Noto Sans CJK SC"/>
        <family val="2"/>
      </rPr>
      <t xml:space="preserve">四个条件：</t>
    </r>
    <r>
      <rPr>
        <sz val="10"/>
        <rFont val="Arial"/>
        <family val="0"/>
        <charset val="1"/>
      </rPr>
      <t xml:space="preserve">CP 1</t>
    </r>
    <r>
      <rPr>
        <sz val="10"/>
        <rFont val="Noto Sans CJK SC"/>
        <family val="2"/>
      </rPr>
      <t xml:space="preserve">；</t>
    </r>
    <r>
      <rPr>
        <sz val="10"/>
        <rFont val="Arial"/>
        <family val="0"/>
        <charset val="1"/>
      </rPr>
      <t xml:space="preserve">CR ≤3</t>
    </r>
    <r>
      <rPr>
        <sz val="10"/>
        <rFont val="Noto Sans CJK SC"/>
        <family val="2"/>
      </rPr>
      <t xml:space="preserve">；显著高于行业的 </t>
    </r>
    <r>
      <rPr>
        <sz val="10"/>
        <rFont val="Arial"/>
        <family val="0"/>
        <charset val="1"/>
      </rPr>
      <t xml:space="preserve">profitability</t>
    </r>
    <r>
      <rPr>
        <sz val="10"/>
        <rFont val="Noto Sans CJK SC"/>
        <family val="2"/>
      </rPr>
      <t xml:space="preserve">；</t>
    </r>
    <r>
      <rPr>
        <sz val="10"/>
        <rFont val="Arial"/>
        <family val="0"/>
        <charset val="1"/>
      </rPr>
      <t xml:space="preserve">competitive position transcends industry risk</t>
    </r>
    <r>
      <rPr>
        <sz val="10"/>
        <rFont val="Noto Sans CJK SC"/>
        <family val="2"/>
      </rPr>
      <t xml:space="preserve">。</t>
    </r>
  </si>
  <si>
    <r>
      <rPr>
        <sz val="10"/>
        <rFont val="Arial"/>
        <family val="0"/>
        <charset val="1"/>
      </rPr>
      <t xml:space="preserve">Removed</t>
    </r>
    <r>
      <rPr>
        <sz val="10"/>
        <rFont val="Noto Sans CJK SC"/>
        <family val="2"/>
      </rPr>
      <t xml:space="preserve">；不扩展到 </t>
    </r>
    <r>
      <rPr>
        <sz val="10"/>
        <rFont val="Arial"/>
        <family val="0"/>
        <charset val="1"/>
      </rPr>
      <t xml:space="preserve">CICRA 4</t>
    </r>
    <r>
      <rPr>
        <sz val="10"/>
        <rFont val="Noto Sans CJK SC"/>
        <family val="2"/>
      </rPr>
      <t xml:space="preserve">。</t>
    </r>
  </si>
  <si>
    <t xml:space="preserve">Slide 3</t>
  </si>
  <si>
    <r>
      <rPr>
        <sz val="10"/>
        <rFont val="Arial"/>
        <family val="0"/>
        <charset val="1"/>
      </rPr>
      <t xml:space="preserve">Parked</t>
    </r>
    <r>
      <rPr>
        <sz val="10"/>
        <rFont val="Noto Sans CJK SC"/>
        <family val="2"/>
      </rPr>
      <t xml:space="preserve">（</t>
    </r>
    <r>
      <rPr>
        <sz val="10"/>
        <rFont val="Arial"/>
        <family val="0"/>
        <charset val="1"/>
      </rPr>
      <t xml:space="preserve">sub-change 1d</t>
    </r>
    <r>
      <rPr>
        <sz val="10"/>
        <rFont val="Noto Sans CJK SC"/>
        <family val="2"/>
      </rPr>
      <t xml:space="preserve">）。</t>
    </r>
    <r>
      <rPr>
        <sz val="10"/>
        <rFont val="Arial"/>
        <family val="0"/>
        <charset val="1"/>
      </rPr>
      <t xml:space="preserve">Squad </t>
    </r>
    <r>
      <rPr>
        <sz val="10"/>
        <rFont val="Noto Sans CJK SC"/>
        <family val="2"/>
      </rPr>
      <t xml:space="preserve">的 </t>
    </r>
    <r>
      <rPr>
        <sz val="10"/>
        <rFont val="Arial"/>
        <family val="0"/>
        <charset val="1"/>
      </rPr>
      <t xml:space="preserve">"no rating impact" </t>
    </r>
    <r>
      <rPr>
        <sz val="10"/>
        <rFont val="Noto Sans CJK SC"/>
        <family val="2"/>
      </rPr>
      <t xml:space="preserve">依赖 </t>
    </r>
    <r>
      <rPr>
        <sz val="10"/>
        <rFont val="Arial"/>
        <family val="0"/>
        <charset val="1"/>
      </rPr>
      <t xml:space="preserve">2 </t>
    </r>
    <r>
      <rPr>
        <sz val="10"/>
        <rFont val="Noto Sans CJK SC"/>
        <family val="2"/>
      </rPr>
      <t xml:space="preserve">个 </t>
    </r>
    <r>
      <rPr>
        <sz val="10"/>
        <rFont val="Arial"/>
        <family val="0"/>
        <charset val="1"/>
      </rPr>
      <t xml:space="preserve">entity </t>
    </r>
    <r>
      <rPr>
        <sz val="10"/>
        <rFont val="Noto Sans CJK SC"/>
        <family val="2"/>
      </rPr>
      <t xml:space="preserve">的 </t>
    </r>
    <r>
      <rPr>
        <sz val="10"/>
        <rFont val="Arial"/>
        <family val="0"/>
        <charset val="1"/>
      </rPr>
      <t xml:space="preserve">support uplift</t>
    </r>
    <r>
      <rPr>
        <sz val="10"/>
        <rFont val="Noto Sans CJK SC"/>
        <family val="2"/>
      </rPr>
      <t xml:space="preserve">；</t>
    </r>
    <r>
      <rPr>
        <sz val="10"/>
        <rFont val="Arial"/>
        <family val="0"/>
        <charset val="1"/>
      </rPr>
      <t xml:space="preserve">SACP </t>
    </r>
    <r>
      <rPr>
        <sz val="10"/>
        <rFont val="Noto Sans CJK SC"/>
        <family val="2"/>
      </rPr>
      <t xml:space="preserve">影响未说明。</t>
    </r>
  </si>
  <si>
    <r>
      <rPr>
        <sz val="10"/>
        <rFont val="Noto Sans CJK SC"/>
        <family val="2"/>
      </rPr>
      <t xml:space="preserve">已有（</t>
    </r>
    <r>
      <rPr>
        <sz val="10"/>
        <rFont val="Arial"/>
        <family val="0"/>
        <charset val="1"/>
      </rPr>
      <t xml:space="preserve">parked</t>
    </r>
    <r>
      <rPr>
        <sz val="10"/>
        <rFont val="Noto Sans CJK SC"/>
        <family val="2"/>
      </rPr>
      <t xml:space="preserve">）</t>
    </r>
  </si>
  <si>
    <r>
      <rPr>
        <sz val="10"/>
        <rFont val="Arial"/>
        <family val="0"/>
        <charset val="1"/>
      </rPr>
      <t xml:space="preserve">para 27 </t>
    </r>
    <r>
      <rPr>
        <sz val="10"/>
        <rFont val="Noto Sans CJK SC"/>
        <family val="2"/>
      </rPr>
      <t xml:space="preserve">第 </t>
    </r>
    <r>
      <rPr>
        <sz val="10"/>
        <rFont val="Arial"/>
        <family val="0"/>
        <charset val="1"/>
      </rPr>
      <t xml:space="preserve">1 </t>
    </r>
    <r>
      <rPr>
        <sz val="10"/>
        <rFont val="Noto Sans CJK SC"/>
        <family val="2"/>
      </rPr>
      <t xml:space="preserve">条</t>
    </r>
  </si>
  <si>
    <r>
      <rPr>
        <sz val="10"/>
        <rFont val="Arial"/>
        <family val="0"/>
        <charset val="1"/>
      </rPr>
      <t xml:space="preserve">Multi-business-line </t>
    </r>
    <r>
      <rPr>
        <sz val="10"/>
        <rFont val="Noto Sans CJK SC"/>
        <family val="2"/>
      </rPr>
      <t xml:space="preserve">的 </t>
    </r>
    <r>
      <rPr>
        <sz val="10"/>
        <rFont val="Arial"/>
        <family val="0"/>
        <charset val="1"/>
      </rPr>
      <t xml:space="preserve">country risk </t>
    </r>
    <r>
      <rPr>
        <sz val="10"/>
        <rFont val="Noto Sans CJK SC"/>
        <family val="2"/>
      </rPr>
      <t xml:space="preserve">加权</t>
    </r>
  </si>
  <si>
    <r>
      <rPr>
        <sz val="10"/>
        <rFont val="Arial"/>
        <family val="0"/>
        <charset val="1"/>
      </rPr>
      <t xml:space="preserve">&gt;5% sales / EBITDA / fixed assets </t>
    </r>
    <r>
      <rPr>
        <sz val="10"/>
        <rFont val="Noto Sans CJK SC"/>
        <family val="2"/>
      </rPr>
      <t xml:space="preserve">的国家纳入 </t>
    </r>
    <r>
      <rPr>
        <sz val="10"/>
        <rFont val="Arial"/>
        <family val="0"/>
        <charset val="1"/>
      </rPr>
      <t xml:space="preserve">weighted average</t>
    </r>
    <r>
      <rPr>
        <sz val="10"/>
        <rFont val="Noto Sans CJK SC"/>
        <family val="2"/>
      </rPr>
      <t xml:space="preserve">。</t>
    </r>
  </si>
  <si>
    <r>
      <rPr>
        <sz val="10"/>
        <rFont val="Arial"/>
        <family val="0"/>
        <charset val="1"/>
      </rPr>
      <t xml:space="preserve">Modified</t>
    </r>
    <r>
      <rPr>
        <sz val="10"/>
        <rFont val="Noto Sans CJK SC"/>
        <family val="2"/>
      </rPr>
      <t xml:space="preserve">：</t>
    </r>
    <r>
      <rPr>
        <sz val="10"/>
        <rFont val="Arial"/>
        <family val="0"/>
        <charset val="1"/>
      </rPr>
      <t xml:space="preserve">5% threshold removed</t>
    </r>
    <r>
      <rPr>
        <sz val="10"/>
        <rFont val="Noto Sans CJK SC"/>
        <family val="2"/>
      </rPr>
      <t xml:space="preserve">；</t>
    </r>
    <r>
      <rPr>
        <sz val="10"/>
        <rFont val="Arial"/>
        <family val="0"/>
        <charset val="1"/>
      </rPr>
      <t xml:space="preserve">weighted average retained</t>
    </r>
    <r>
      <rPr>
        <sz val="10"/>
        <rFont val="Noto Sans CJK SC"/>
        <family val="2"/>
      </rPr>
      <t xml:space="preserve">。</t>
    </r>
  </si>
  <si>
    <t xml:space="preserve">Slide 2 "remove the 5% threshold"</t>
  </si>
  <si>
    <r>
      <rPr>
        <sz val="10"/>
        <rFont val="Noto Sans CJK SC"/>
        <family val="2"/>
      </rPr>
      <t xml:space="preserve">与 </t>
    </r>
    <r>
      <rPr>
        <sz val="10"/>
        <rFont val="Arial"/>
        <family val="0"/>
        <charset val="1"/>
      </rPr>
      <t xml:space="preserve">FI methodology para 36 </t>
    </r>
    <r>
      <rPr>
        <sz val="10"/>
        <rFont val="Noto Sans CJK SC"/>
        <family val="2"/>
      </rPr>
      <t xml:space="preserve">保留的 </t>
    </r>
    <r>
      <rPr>
        <sz val="10"/>
        <rFont val="Arial"/>
        <family val="0"/>
        <charset val="1"/>
      </rPr>
      <t xml:space="preserve">5% threshold </t>
    </r>
    <r>
      <rPr>
        <sz val="10"/>
        <rFont val="Noto Sans CJK SC"/>
        <family val="2"/>
      </rPr>
      <t xml:space="preserve">分叉。</t>
    </r>
  </si>
  <si>
    <t xml:space="preserve">para 42</t>
  </si>
  <si>
    <r>
      <rPr>
        <sz val="10"/>
        <rFont val="Arial"/>
        <family val="0"/>
        <charset val="1"/>
      </rPr>
      <t xml:space="preserve">Exposure </t>
    </r>
    <r>
      <rPr>
        <sz val="10"/>
        <rFont val="Noto Sans CJK SC"/>
        <family val="2"/>
      </rPr>
      <t xml:space="preserve">的计量基础</t>
    </r>
  </si>
  <si>
    <r>
      <rPr>
        <sz val="10"/>
        <rFont val="Arial"/>
        <family val="0"/>
        <charset val="1"/>
      </rPr>
      <t xml:space="preserve">Single-country → </t>
    </r>
    <r>
      <rPr>
        <sz val="10"/>
        <rFont val="Noto Sans CJK SC"/>
        <family val="2"/>
      </rPr>
      <t xml:space="preserve">该国 </t>
    </r>
    <r>
      <rPr>
        <sz val="10"/>
        <rFont val="Arial"/>
        <family val="0"/>
        <charset val="1"/>
      </rPr>
      <t xml:space="preserve">score</t>
    </r>
    <r>
      <rPr>
        <sz val="10"/>
        <rFont val="Noto Sans CJK SC"/>
        <family val="2"/>
      </rPr>
      <t xml:space="preserve">；</t>
    </r>
    <r>
      <rPr>
        <sz val="10"/>
        <rFont val="Arial"/>
        <family val="0"/>
        <charset val="1"/>
      </rPr>
      <t xml:space="preserve">multi-country </t>
    </r>
    <r>
      <rPr>
        <sz val="10"/>
        <rFont val="Noto Sans CJK SC"/>
        <family val="2"/>
      </rPr>
      <t xml:space="preserve">按 </t>
    </r>
    <r>
      <rPr>
        <sz val="10"/>
        <rFont val="Arial"/>
        <family val="0"/>
        <charset val="1"/>
      </rPr>
      <t xml:space="preserve">forecasted EBITDA</t>
    </r>
    <r>
      <rPr>
        <sz val="10"/>
        <rFont val="Noto Sans CJK SC"/>
        <family val="2"/>
      </rPr>
      <t xml:space="preserve">、</t>
    </r>
    <r>
      <rPr>
        <sz val="10"/>
        <rFont val="Arial"/>
        <family val="0"/>
        <charset val="1"/>
      </rPr>
      <t xml:space="preserve">revenues</t>
    </r>
    <r>
      <rPr>
        <sz val="10"/>
        <rFont val="Noto Sans CJK SC"/>
        <family val="2"/>
      </rPr>
      <t xml:space="preserve">、</t>
    </r>
    <r>
      <rPr>
        <sz val="10"/>
        <rFont val="Arial"/>
        <family val="0"/>
        <charset val="1"/>
      </rPr>
      <t xml:space="preserve">fixed assets </t>
    </r>
    <r>
      <rPr>
        <sz val="10"/>
        <rFont val="Noto Sans CJK SC"/>
        <family val="2"/>
      </rPr>
      <t xml:space="preserve">或其他更合适的指标。</t>
    </r>
  </si>
  <si>
    <r>
      <rPr>
        <sz val="10"/>
        <rFont val="Arial"/>
        <family val="0"/>
        <charset val="1"/>
      </rPr>
      <t xml:space="preserve">Modified</t>
    </r>
    <r>
      <rPr>
        <sz val="10"/>
        <rFont val="Noto Sans CJK SC"/>
        <family val="2"/>
      </rPr>
      <t xml:space="preserve">：指标扩展为 </t>
    </r>
    <r>
      <rPr>
        <sz val="10"/>
        <rFont val="Arial"/>
        <family val="0"/>
        <charset val="1"/>
      </rPr>
      <t xml:space="preserve">% EBITDA</t>
    </r>
    <r>
      <rPr>
        <sz val="10"/>
        <rFont val="Noto Sans CJK SC"/>
        <family val="2"/>
      </rPr>
      <t xml:space="preserve">、</t>
    </r>
    <r>
      <rPr>
        <sz val="10"/>
        <rFont val="Arial"/>
        <family val="0"/>
        <charset val="1"/>
      </rPr>
      <t xml:space="preserve">% revenue</t>
    </r>
    <r>
      <rPr>
        <sz val="10"/>
        <rFont val="Noto Sans CJK SC"/>
        <family val="2"/>
      </rPr>
      <t xml:space="preserve">、</t>
    </r>
    <r>
      <rPr>
        <sz val="10"/>
        <rFont val="Arial"/>
        <family val="0"/>
        <charset val="1"/>
      </rPr>
      <t xml:space="preserve">% and location of exports</t>
    </r>
    <r>
      <rPr>
        <sz val="10"/>
        <rFont val="Noto Sans CJK SC"/>
        <family val="2"/>
      </rPr>
      <t xml:space="preserve">、</t>
    </r>
    <r>
      <rPr>
        <sz val="10"/>
        <rFont val="Arial"/>
        <family val="0"/>
        <charset val="1"/>
      </rPr>
      <t xml:space="preserve">head office</t>
    </r>
    <r>
      <rPr>
        <sz val="10"/>
        <rFont val="Noto Sans CJK SC"/>
        <family val="2"/>
      </rPr>
      <t xml:space="preserve">、</t>
    </r>
    <r>
      <rPr>
        <sz val="10"/>
        <rFont val="Arial"/>
        <family val="0"/>
        <charset val="1"/>
      </rPr>
      <t xml:space="preserve">fixed assets</t>
    </r>
    <r>
      <rPr>
        <sz val="10"/>
        <rFont val="Noto Sans CJK SC"/>
        <family val="2"/>
      </rPr>
      <t xml:space="preserve">、</t>
    </r>
    <r>
      <rPr>
        <sz val="10"/>
        <rFont val="Arial"/>
        <family val="0"/>
        <charset val="1"/>
      </rPr>
      <t xml:space="preserve">production facilities</t>
    </r>
    <r>
      <rPr>
        <sz val="10"/>
        <rFont val="Noto Sans CJK SC"/>
        <family val="2"/>
      </rPr>
      <t xml:space="preserve">、</t>
    </r>
    <r>
      <rPr>
        <sz val="10"/>
        <rFont val="Arial"/>
        <family val="0"/>
        <charset val="1"/>
      </rPr>
      <t xml:space="preserve">key suppliers</t>
    </r>
    <r>
      <rPr>
        <sz val="10"/>
        <rFont val="Noto Sans CJK SC"/>
        <family val="2"/>
      </rPr>
      <t xml:space="preserve">。</t>
    </r>
  </si>
  <si>
    <t xml:space="preserve">Slide 2 "Typical factors to consider"</t>
  </si>
  <si>
    <r>
      <rPr>
        <sz val="10"/>
        <rFont val="Arial"/>
        <family val="0"/>
        <charset val="1"/>
      </rPr>
      <t xml:space="preserve">"forecasted"</t>
    </r>
    <r>
      <rPr>
        <sz val="10"/>
        <rFont val="Noto Sans CJK SC"/>
        <family val="2"/>
      </rPr>
      <t xml:space="preserve">（</t>
    </r>
    <r>
      <rPr>
        <sz val="10"/>
        <rFont val="Arial"/>
        <family val="0"/>
        <charset val="1"/>
      </rPr>
      <t xml:space="preserve">prospective</t>
    </r>
    <r>
      <rPr>
        <sz val="10"/>
        <rFont val="Noto Sans CJK SC"/>
        <family val="2"/>
      </rPr>
      <t xml:space="preserve">）是否保留未提；指标之间无优先级。</t>
    </r>
  </si>
  <si>
    <t xml:space="preserve">para 43 / Table 6</t>
  </si>
  <si>
    <r>
      <rPr>
        <sz val="10"/>
        <rFont val="Arial"/>
        <family val="0"/>
        <charset val="1"/>
      </rPr>
      <t xml:space="preserve">Weighted average </t>
    </r>
    <r>
      <rPr>
        <sz val="10"/>
        <rFont val="Noto Sans CJK SC"/>
        <family val="2"/>
      </rPr>
      <t xml:space="preserve">计算与 </t>
    </r>
    <r>
      <rPr>
        <sz val="10"/>
        <rFont val="Arial"/>
        <family val="0"/>
        <charset val="1"/>
      </rPr>
      <t xml:space="preserve">rounding</t>
    </r>
  </si>
  <si>
    <r>
      <rPr>
        <sz val="10"/>
        <rFont val="Noto Sans CJK SC"/>
        <family val="2"/>
      </rPr>
      <t xml:space="preserve">只计 </t>
    </r>
    <r>
      <rPr>
        <sz val="10"/>
        <rFont val="Arial"/>
        <family val="0"/>
        <charset val="1"/>
      </rPr>
      <t xml:space="preserve">&gt;5% </t>
    </r>
    <r>
      <rPr>
        <sz val="10"/>
        <rFont val="Noto Sans CJK SC"/>
        <family val="2"/>
      </rPr>
      <t xml:space="preserve">的国家；权重 </t>
    </r>
    <r>
      <rPr>
        <sz val="10"/>
        <rFont val="Arial"/>
        <family val="0"/>
        <charset val="1"/>
      </rPr>
      <t xml:space="preserve">round to nearest 5%</t>
    </r>
    <r>
      <rPr>
        <sz val="10"/>
        <rFont val="Noto Sans CJK SC"/>
        <family val="2"/>
      </rPr>
      <t xml:space="preserve">；结果 </t>
    </r>
    <r>
      <rPr>
        <sz val="10"/>
        <rFont val="Arial"/>
        <family val="0"/>
        <charset val="1"/>
      </rPr>
      <t xml:space="preserve">round to nearest integer</t>
    </r>
    <r>
      <rPr>
        <sz val="10"/>
        <rFont val="Noto Sans CJK SC"/>
        <family val="2"/>
      </rPr>
      <t xml:space="preserve">（</t>
    </r>
    <r>
      <rPr>
        <sz val="10"/>
        <rFont val="Arial"/>
        <family val="0"/>
        <charset val="1"/>
      </rPr>
      <t xml:space="preserve">2.2→2</t>
    </r>
    <r>
      <rPr>
        <sz val="10"/>
        <rFont val="Noto Sans CJK SC"/>
        <family val="2"/>
      </rPr>
      <t xml:space="preserve">，</t>
    </r>
    <r>
      <rPr>
        <sz val="10"/>
        <rFont val="Arial"/>
        <family val="0"/>
        <charset val="1"/>
      </rPr>
      <t xml:space="preserve">2.6→3</t>
    </r>
    <r>
      <rPr>
        <sz val="10"/>
        <rFont val="Noto Sans CJK SC"/>
        <family val="2"/>
      </rPr>
      <t xml:space="preserve">）；</t>
    </r>
    <r>
      <rPr>
        <sz val="10"/>
        <rFont val="Arial"/>
        <family val="0"/>
        <charset val="1"/>
      </rPr>
      <t xml:space="preserve">Table 6 </t>
    </r>
    <r>
      <rPr>
        <sz val="10"/>
        <rFont val="Noto Sans CJK SC"/>
        <family val="2"/>
      </rPr>
      <t xml:space="preserve">示例。</t>
    </r>
  </si>
  <si>
    <r>
      <rPr>
        <sz val="10"/>
        <rFont val="Arial"/>
        <family val="0"/>
        <charset val="1"/>
      </rPr>
      <t xml:space="preserve">Modified</t>
    </r>
    <r>
      <rPr>
        <sz val="10"/>
        <rFont val="Noto Sans CJK SC"/>
        <family val="2"/>
      </rPr>
      <t xml:space="preserve">：</t>
    </r>
    <r>
      <rPr>
        <sz val="10"/>
        <rFont val="Arial"/>
        <family val="0"/>
        <charset val="1"/>
      </rPr>
      <t xml:space="preserve">5% threshold </t>
    </r>
    <r>
      <rPr>
        <sz val="10"/>
        <rFont val="Noto Sans CJK SC"/>
        <family val="2"/>
      </rPr>
      <t xml:space="preserve">与 </t>
    </r>
    <r>
      <rPr>
        <sz val="10"/>
        <rFont val="Arial"/>
        <family val="0"/>
        <charset val="1"/>
      </rPr>
      <t xml:space="preserve">5% </t>
    </r>
    <r>
      <rPr>
        <sz val="10"/>
        <rFont val="Noto Sans CJK SC"/>
        <family val="2"/>
      </rPr>
      <t xml:space="preserve">权重 </t>
    </r>
    <r>
      <rPr>
        <sz val="10"/>
        <rFont val="Arial"/>
        <family val="0"/>
        <charset val="1"/>
      </rPr>
      <t xml:space="preserve">rounding removed</t>
    </r>
    <r>
      <rPr>
        <sz val="10"/>
        <rFont val="Noto Sans CJK SC"/>
        <family val="2"/>
      </rPr>
      <t xml:space="preserve">；数据按 </t>
    </r>
    <r>
      <rPr>
        <sz val="10"/>
        <rFont val="Arial"/>
        <family val="0"/>
        <charset val="1"/>
      </rPr>
      <t xml:space="preserve">reported </t>
    </r>
    <r>
      <rPr>
        <sz val="10"/>
        <rFont val="Noto Sans CJK SC"/>
        <family val="2"/>
      </rPr>
      <t xml:space="preserve">输入；</t>
    </r>
    <r>
      <rPr>
        <sz val="10"/>
        <rFont val="Arial"/>
        <family val="0"/>
        <charset val="1"/>
      </rPr>
      <t xml:space="preserve">integer rounding </t>
    </r>
    <r>
      <rPr>
        <sz val="10"/>
        <rFont val="Noto Sans CJK SC"/>
        <family val="2"/>
      </rPr>
      <t xml:space="preserve">未提。</t>
    </r>
  </si>
  <si>
    <t xml:space="preserve">Slide 2 "remove the rounding to the 5% increments in CCST"</t>
  </si>
  <si>
    <r>
      <rPr>
        <sz val="10"/>
        <rFont val="Arial"/>
        <family val="0"/>
        <charset val="1"/>
      </rPr>
      <t xml:space="preserve">Integer rounding </t>
    </r>
    <r>
      <rPr>
        <sz val="10"/>
        <rFont val="Noto Sans CJK SC"/>
        <family val="2"/>
      </rPr>
      <t xml:space="preserve">与 </t>
    </r>
    <r>
      <rPr>
        <sz val="10"/>
        <rFont val="Arial"/>
        <family val="0"/>
        <charset val="1"/>
      </rPr>
      <t xml:space="preserve">x.5 </t>
    </r>
    <r>
      <rPr>
        <sz val="10"/>
        <rFont val="Noto Sans CJK SC"/>
        <family val="2"/>
      </rPr>
      <t xml:space="preserve">的处理必须在 </t>
    </r>
    <r>
      <rPr>
        <sz val="10"/>
        <rFont val="Arial"/>
        <family val="0"/>
        <charset val="1"/>
      </rPr>
      <t xml:space="preserve">draft </t>
    </r>
    <r>
      <rPr>
        <sz val="10"/>
        <rFont val="Noto Sans CJK SC"/>
        <family val="2"/>
      </rPr>
      <t xml:space="preserve">与 </t>
    </r>
    <r>
      <rPr>
        <sz val="10"/>
        <rFont val="Arial"/>
        <family val="0"/>
        <charset val="1"/>
      </rPr>
      <t xml:space="preserve">CCST </t>
    </r>
    <r>
      <rPr>
        <sz val="10"/>
        <rFont val="Noto Sans CJK SC"/>
        <family val="2"/>
      </rPr>
      <t xml:space="preserve">规则中写明（</t>
    </r>
    <r>
      <rPr>
        <sz val="10"/>
        <rFont val="Arial"/>
        <family val="0"/>
        <charset val="1"/>
      </rPr>
      <t xml:space="preserve">FI methodology </t>
    </r>
    <r>
      <rPr>
        <sz val="10"/>
        <rFont val="Noto Sans CJK SC"/>
        <family val="2"/>
      </rPr>
      <t xml:space="preserve">示例 </t>
    </r>
    <r>
      <rPr>
        <sz val="10"/>
        <rFont val="Arial"/>
        <family val="0"/>
        <charset val="1"/>
      </rPr>
      <t xml:space="preserve">2.55→3</t>
    </r>
    <r>
      <rPr>
        <sz val="10"/>
        <rFont val="Noto Sans CJK SC"/>
        <family val="2"/>
      </rPr>
      <t xml:space="preserve">）。</t>
    </r>
    <r>
      <rPr>
        <sz val="10"/>
        <rFont val="Arial"/>
        <family val="0"/>
        <charset val="1"/>
      </rPr>
      <t xml:space="preserve">Table 6 </t>
    </r>
    <r>
      <rPr>
        <sz val="10"/>
        <rFont val="Noto Sans CJK SC"/>
        <family val="2"/>
      </rPr>
      <t xml:space="preserve">需更新。</t>
    </r>
  </si>
  <si>
    <t xml:space="preserve">para 44</t>
  </si>
  <si>
    <t xml:space="preserve">Weak-link approach</t>
  </si>
  <si>
    <r>
      <rPr>
        <sz val="10"/>
        <rFont val="Noto Sans CJK SC"/>
        <family val="2"/>
      </rPr>
      <t xml:space="preserve">三种情形：</t>
    </r>
    <r>
      <rPr>
        <sz val="10"/>
        <rFont val="Arial"/>
        <family val="0"/>
        <charset val="1"/>
      </rPr>
      <t xml:space="preserve">fixed assets </t>
    </r>
    <r>
      <rPr>
        <sz val="10"/>
        <rFont val="Noto Sans CJK SC"/>
        <family val="2"/>
      </rPr>
      <t xml:space="preserve">在高风险国；出口收入来自高风险国且不可转移；供应商在高风险国且不可替代。</t>
    </r>
  </si>
  <si>
    <r>
      <rPr>
        <sz val="10"/>
        <rFont val="Arial"/>
        <family val="0"/>
        <charset val="1"/>
      </rPr>
      <t xml:space="preserve">Modified</t>
    </r>
    <r>
      <rPr>
        <sz val="10"/>
        <rFont val="Noto Sans CJK SC"/>
        <family val="2"/>
      </rPr>
      <t xml:space="preserve">：保留为 </t>
    </r>
    <r>
      <rPr>
        <sz val="10"/>
        <rFont val="Arial"/>
        <family val="0"/>
        <charset val="1"/>
      </rPr>
      <t xml:space="preserve">"weak-link approach to a country or a region when more relevant"</t>
    </r>
    <r>
      <rPr>
        <sz val="10"/>
        <rFont val="Noto Sans CJK SC"/>
        <family val="2"/>
      </rPr>
      <t xml:space="preserve">；</t>
    </r>
    <r>
      <rPr>
        <sz val="10"/>
        <rFont val="Arial"/>
        <family val="0"/>
        <charset val="1"/>
      </rPr>
      <t xml:space="preserve">Slide 1 </t>
    </r>
    <r>
      <rPr>
        <sz val="10"/>
        <rFont val="Noto Sans CJK SC"/>
        <family val="2"/>
      </rPr>
      <t xml:space="preserve">曾提议整段删除。</t>
    </r>
  </si>
  <si>
    <r>
      <rPr>
        <sz val="10"/>
        <rFont val="Arial"/>
        <family val="0"/>
        <charset val="1"/>
      </rPr>
      <t xml:space="preserve">Slide 2</t>
    </r>
    <r>
      <rPr>
        <sz val="10"/>
        <rFont val="Noto Sans CJK SC"/>
        <family val="2"/>
      </rPr>
      <t xml:space="preserve">；</t>
    </r>
    <r>
      <rPr>
        <sz val="10"/>
        <rFont val="Arial"/>
        <family val="0"/>
        <charset val="1"/>
      </rPr>
      <t xml:space="preserve">Slide 1 "Weak link is too complex"</t>
    </r>
  </si>
  <si>
    <r>
      <rPr>
        <sz val="10"/>
        <rFont val="Arial"/>
        <family val="0"/>
        <charset val="1"/>
      </rPr>
      <t xml:space="preserve">"when more relevant" </t>
    </r>
    <r>
      <rPr>
        <sz val="10"/>
        <rFont val="Noto Sans CJK SC"/>
        <family val="2"/>
      </rPr>
      <t xml:space="preserve">比现行三种情形弱；供应商情形被移作 −</t>
    </r>
    <r>
      <rPr>
        <sz val="10"/>
        <rFont val="Arial"/>
        <family val="0"/>
        <charset val="1"/>
      </rPr>
      <t xml:space="preserve">1 notching </t>
    </r>
    <r>
      <rPr>
        <sz val="10"/>
        <rFont val="Noto Sans CJK SC"/>
        <family val="2"/>
      </rPr>
      <t xml:space="preserve">的示例，两处是否重复需看 </t>
    </r>
    <r>
      <rPr>
        <sz val="10"/>
        <rFont val="Arial"/>
        <family val="0"/>
        <charset val="1"/>
      </rPr>
      <t xml:space="preserve">draft</t>
    </r>
    <r>
      <rPr>
        <sz val="10"/>
        <rFont val="Noto Sans CJK SC"/>
        <family val="2"/>
      </rPr>
      <t xml:space="preserve">。</t>
    </r>
  </si>
  <si>
    <t xml:space="preserve">para 45</t>
  </si>
  <si>
    <r>
      <rPr>
        <sz val="10"/>
        <rFont val="Arial"/>
        <family val="0"/>
        <charset val="1"/>
      </rPr>
      <t xml:space="preserve">Single-jurisdiction exporter </t>
    </r>
    <r>
      <rPr>
        <sz val="10"/>
        <rFont val="Noto Sans CJK SC"/>
        <family val="2"/>
      </rPr>
      <t xml:space="preserve">的 </t>
    </r>
    <r>
      <rPr>
        <sz val="10"/>
        <rFont val="Arial"/>
        <family val="0"/>
        <charset val="1"/>
      </rPr>
      <t xml:space="preserve">mitigation</t>
    </r>
  </si>
  <si>
    <r>
      <rPr>
        <sz val="10"/>
        <rFont val="Noto Sans CJK SC"/>
        <family val="2"/>
      </rPr>
      <t xml:space="preserve">出口为主且不依赖本国银行体系的公司，若 </t>
    </r>
    <r>
      <rPr>
        <sz val="10"/>
        <rFont val="Arial"/>
        <family val="0"/>
        <charset val="1"/>
      </rPr>
      <t xml:space="preserve">financial system risk </t>
    </r>
    <r>
      <rPr>
        <sz val="10"/>
        <rFont val="Noto Sans CJK SC"/>
        <family val="2"/>
      </rPr>
      <t xml:space="preserve">是该国 </t>
    </r>
    <r>
      <rPr>
        <sz val="10"/>
        <rFont val="Arial"/>
        <family val="0"/>
        <charset val="1"/>
      </rPr>
      <t xml:space="preserve">CR </t>
    </r>
    <r>
      <rPr>
        <sz val="10"/>
        <rFont val="Noto Sans CJK SC"/>
        <family val="2"/>
      </rPr>
      <t xml:space="preserve">的约束因素，可改善 </t>
    </r>
    <r>
      <rPr>
        <sz val="10"/>
        <rFont val="Arial"/>
        <family val="0"/>
        <charset val="1"/>
      </rPr>
      <t xml:space="preserve">1 </t>
    </r>
    <r>
      <rPr>
        <sz val="10"/>
        <rFont val="Noto Sans CJK SC"/>
        <family val="2"/>
      </rPr>
      <t xml:space="preserve">个 </t>
    </r>
    <r>
      <rPr>
        <sz val="10"/>
        <rFont val="Arial"/>
        <family val="0"/>
        <charset val="1"/>
      </rPr>
      <t xml:space="preserve">category</t>
    </r>
    <r>
      <rPr>
        <sz val="10"/>
        <rFont val="Noto Sans CJK SC"/>
        <family val="2"/>
      </rPr>
      <t xml:space="preserve">。</t>
    </r>
  </si>
  <si>
    <r>
      <rPr>
        <sz val="10"/>
        <rFont val="Arial"/>
        <family val="0"/>
        <charset val="1"/>
      </rPr>
      <t xml:space="preserve">Unclear</t>
    </r>
    <r>
      <rPr>
        <sz val="10"/>
        <rFont val="Noto Sans CJK SC"/>
        <family val="2"/>
      </rPr>
      <t xml:space="preserve">：</t>
    </r>
    <r>
      <rPr>
        <sz val="10"/>
        <rFont val="Arial"/>
        <family val="0"/>
        <charset val="1"/>
      </rPr>
      <t xml:space="preserve">Slide 1 </t>
    </r>
    <r>
      <rPr>
        <sz val="10"/>
        <rFont val="Noto Sans CJK SC"/>
        <family val="2"/>
      </rPr>
      <t xml:space="preserve">将 </t>
    </r>
    <r>
      <rPr>
        <sz val="10"/>
        <rFont val="Arial"/>
        <family val="0"/>
        <charset val="1"/>
      </rPr>
      <t xml:space="preserve">paras 43–45 </t>
    </r>
    <r>
      <rPr>
        <sz val="10"/>
        <rFont val="Noto Sans CJK SC"/>
        <family val="2"/>
      </rPr>
      <t xml:space="preserve">一并讨论，</t>
    </r>
    <r>
      <rPr>
        <sz val="10"/>
        <rFont val="Arial"/>
        <family val="0"/>
        <charset val="1"/>
      </rPr>
      <t xml:space="preserve">Slide 2 </t>
    </r>
    <r>
      <rPr>
        <sz val="10"/>
        <rFont val="Noto Sans CJK SC"/>
        <family val="2"/>
      </rPr>
      <t xml:space="preserve">的 </t>
    </r>
    <r>
      <rPr>
        <sz val="10"/>
        <rFont val="Arial"/>
        <family val="0"/>
        <charset val="1"/>
      </rPr>
      <t xml:space="preserve">proposal </t>
    </r>
    <r>
      <rPr>
        <sz val="10"/>
        <rFont val="Noto Sans CJK SC"/>
        <family val="2"/>
      </rPr>
      <t xml:space="preserve">未保留任何 </t>
    </r>
    <r>
      <rPr>
        <sz val="10"/>
        <rFont val="Arial"/>
        <family val="0"/>
        <charset val="1"/>
      </rPr>
      <t xml:space="preserve">upward </t>
    </r>
    <r>
      <rPr>
        <sz val="10"/>
        <rFont val="Noto Sans CJK SC"/>
        <family val="2"/>
      </rPr>
      <t xml:space="preserve">调整。</t>
    </r>
  </si>
  <si>
    <t xml:space="preserve">Slide 1 "Para 43-45"</t>
  </si>
  <si>
    <r>
      <rPr>
        <sz val="10"/>
        <rFont val="Noto Sans CJK SC"/>
        <family val="2"/>
      </rPr>
      <t xml:space="preserve">若删除，属于 </t>
    </r>
    <r>
      <rPr>
        <sz val="10"/>
        <rFont val="Arial"/>
        <family val="0"/>
        <charset val="1"/>
      </rPr>
      <t xml:space="preserve">power given up</t>
    </r>
    <r>
      <rPr>
        <sz val="10"/>
        <rFont val="Noto Sans CJK SC"/>
        <family val="2"/>
      </rPr>
      <t xml:space="preserve">，且是唯一针对 </t>
    </r>
    <r>
      <rPr>
        <sz val="10"/>
        <rFont val="Arial"/>
        <family val="0"/>
        <charset val="1"/>
      </rPr>
      <t xml:space="preserve">single-country </t>
    </r>
    <r>
      <rPr>
        <sz val="10"/>
        <rFont val="Noto Sans CJK SC"/>
        <family val="2"/>
      </rPr>
      <t xml:space="preserve">公司的调整；需确认。</t>
    </r>
  </si>
  <si>
    <t xml:space="preserve">para 46</t>
  </si>
  <si>
    <t xml:space="preserve">Regional risk assessment</t>
  </si>
  <si>
    <r>
      <rPr>
        <sz val="10"/>
        <rFont val="Noto Sans CJK SC"/>
        <family val="2"/>
      </rPr>
      <t xml:space="preserve">公司按国家组披露时用 </t>
    </r>
    <r>
      <rPr>
        <sz val="10"/>
        <rFont val="Arial"/>
        <family val="0"/>
        <charset val="1"/>
      </rPr>
      <t xml:space="preserve">regional assessment</t>
    </r>
    <r>
      <rPr>
        <sz val="10"/>
        <rFont val="Noto Sans CJK SC"/>
        <family val="2"/>
      </rPr>
      <t xml:space="preserve">（各国 </t>
    </r>
    <r>
      <rPr>
        <sz val="10"/>
        <rFont val="Arial"/>
        <family val="0"/>
        <charset val="1"/>
      </rPr>
      <t xml:space="preserve">CR </t>
    </r>
    <r>
      <rPr>
        <sz val="10"/>
        <rFont val="Noto Sans CJK SC"/>
        <family val="2"/>
      </rPr>
      <t xml:space="preserve">按 </t>
    </r>
    <r>
      <rPr>
        <sz val="10"/>
        <rFont val="Arial"/>
        <family val="0"/>
        <charset val="1"/>
      </rPr>
      <t xml:space="preserve">GDP </t>
    </r>
    <r>
      <rPr>
        <sz val="10"/>
        <rFont val="Noto Sans CJK SC"/>
        <family val="2"/>
      </rPr>
      <t xml:space="preserve">加权平均）；</t>
    </r>
    <r>
      <rPr>
        <sz val="10"/>
        <rFont val="Arial"/>
        <family val="0"/>
        <charset val="1"/>
      </rPr>
      <t xml:space="preserve">Appendix A Table 26 </t>
    </r>
    <r>
      <rPr>
        <sz val="10"/>
        <rFont val="Noto Sans CJK SC"/>
        <family val="2"/>
      </rPr>
      <t xml:space="preserve">定义 </t>
    </r>
    <r>
      <rPr>
        <sz val="10"/>
        <rFont val="Arial"/>
        <family val="0"/>
        <charset val="1"/>
      </rPr>
      <t xml:space="preserve">region</t>
    </r>
    <r>
      <rPr>
        <sz val="10"/>
        <rFont val="Noto Sans CJK SC"/>
        <family val="2"/>
      </rPr>
      <t xml:space="preserve">。</t>
    </r>
  </si>
  <si>
    <r>
      <rPr>
        <sz val="10"/>
        <rFont val="Arial"/>
        <family val="0"/>
        <charset val="1"/>
      </rPr>
      <t xml:space="preserve">Retained</t>
    </r>
    <r>
      <rPr>
        <sz val="10"/>
        <rFont val="Noto Sans CJK SC"/>
        <family val="2"/>
      </rPr>
      <t xml:space="preserve">（</t>
    </r>
    <r>
      <rPr>
        <sz val="10"/>
        <rFont val="Arial"/>
        <family val="0"/>
        <charset val="1"/>
      </rPr>
      <t xml:space="preserve">"based on country or region depending on company reporting"</t>
    </r>
    <r>
      <rPr>
        <sz val="10"/>
        <rFont val="Noto Sans CJK SC"/>
        <family val="2"/>
      </rPr>
      <t xml:space="preserve">）；</t>
    </r>
    <r>
      <rPr>
        <sz val="10"/>
        <rFont val="Arial"/>
        <family val="0"/>
        <charset val="1"/>
      </rPr>
      <t xml:space="preserve">GDP </t>
    </r>
    <r>
      <rPr>
        <sz val="10"/>
        <rFont val="Noto Sans CJK SC"/>
        <family val="2"/>
      </rPr>
      <t xml:space="preserve">加权计算方法未提。</t>
    </r>
  </si>
  <si>
    <t xml:space="preserve">Slide 2</t>
  </si>
  <si>
    <r>
      <rPr>
        <sz val="10"/>
        <rFont val="Arial"/>
        <family val="0"/>
        <charset val="1"/>
      </rPr>
      <t xml:space="preserve">Regional score </t>
    </r>
    <r>
      <rPr>
        <sz val="10"/>
        <rFont val="Noto Sans CJK SC"/>
        <family val="2"/>
      </rPr>
      <t xml:space="preserve">的计算方法与 </t>
    </r>
    <r>
      <rPr>
        <sz val="10"/>
        <rFont val="Arial"/>
        <family val="0"/>
        <charset val="1"/>
      </rPr>
      <t xml:space="preserve">Table 26 </t>
    </r>
    <r>
      <rPr>
        <sz val="10"/>
        <rFont val="Noto Sans CJK SC"/>
        <family val="2"/>
      </rPr>
      <t xml:space="preserve">是否保留需确认；</t>
    </r>
    <r>
      <rPr>
        <sz val="10"/>
        <rFont val="Arial"/>
        <family val="0"/>
        <charset val="1"/>
      </rPr>
      <t xml:space="preserve">CCST </t>
    </r>
    <r>
      <rPr>
        <sz val="10"/>
        <rFont val="Noto Sans CJK SC"/>
        <family val="2"/>
      </rPr>
      <t xml:space="preserve">截图显示 </t>
    </r>
    <r>
      <rPr>
        <sz val="10"/>
        <rFont val="Arial"/>
        <family val="0"/>
        <charset val="1"/>
      </rPr>
      <t xml:space="preserve">Region </t>
    </r>
    <r>
      <rPr>
        <sz val="10"/>
        <rFont val="Noto Sans CJK SC"/>
        <family val="2"/>
      </rPr>
      <t xml:space="preserve">字段仍存在。</t>
    </r>
  </si>
  <si>
    <t xml:space="preserve">para 47</t>
  </si>
  <si>
    <t xml:space="preserve">未披露时的估算</t>
  </si>
  <si>
    <r>
      <rPr>
        <sz val="10"/>
        <rFont val="Noto Sans CJK SC"/>
        <family val="2"/>
      </rPr>
      <t xml:space="preserve">不披露 </t>
    </r>
    <r>
      <rPr>
        <sz val="10"/>
        <rFont val="Arial"/>
        <family val="0"/>
        <charset val="1"/>
      </rPr>
      <t xml:space="preserve">country / regional exposure </t>
    </r>
    <r>
      <rPr>
        <sz val="10"/>
        <rFont val="Noto Sans CJK SC"/>
        <family val="2"/>
      </rPr>
      <t xml:space="preserve">时由分析师估算。</t>
    </r>
  </si>
  <si>
    <r>
      <rPr>
        <sz val="10"/>
        <rFont val="Arial"/>
        <family val="0"/>
        <charset val="1"/>
      </rPr>
      <t xml:space="preserve">Unclear</t>
    </r>
    <r>
      <rPr>
        <sz val="10"/>
        <rFont val="Noto Sans CJK SC"/>
        <family val="2"/>
      </rPr>
      <t xml:space="preserve">（未提）。</t>
    </r>
  </si>
  <si>
    <r>
      <rPr>
        <sz val="10"/>
        <rFont val="Noto Sans CJK SC"/>
        <family val="2"/>
      </rPr>
      <t xml:space="preserve">估算是 </t>
    </r>
    <r>
      <rPr>
        <sz val="10"/>
        <rFont val="Arial"/>
        <family val="0"/>
        <charset val="1"/>
      </rPr>
      <t xml:space="preserve">AJ </t>
    </r>
    <r>
      <rPr>
        <sz val="10"/>
        <rFont val="Noto Sans CJK SC"/>
        <family val="2"/>
      </rPr>
      <t xml:space="preserve">节点之一；需确认保留。</t>
    </r>
  </si>
  <si>
    <t xml:space="preserve">paras 48–49</t>
  </si>
  <si>
    <t xml:space="preserve">Diversity adjustment</t>
  </si>
  <si>
    <r>
      <rPr>
        <sz val="10"/>
        <rFont val="Noto Sans CJK SC"/>
        <family val="2"/>
      </rPr>
      <t xml:space="preserve">满足 </t>
    </r>
    <r>
      <rPr>
        <sz val="10"/>
        <rFont val="Arial"/>
        <family val="0"/>
        <charset val="1"/>
      </rPr>
      <t xml:space="preserve">4 </t>
    </r>
    <r>
      <rPr>
        <sz val="10"/>
        <rFont val="Noto Sans CJK SC"/>
        <family val="2"/>
      </rPr>
      <t xml:space="preserve">个条件（</t>
    </r>
    <r>
      <rPr>
        <sz val="10"/>
        <rFont val="Arial"/>
        <family val="0"/>
        <charset val="1"/>
      </rPr>
      <t xml:space="preserve">head office </t>
    </r>
    <r>
      <rPr>
        <sz val="10"/>
        <rFont val="Noto Sans CJK SC"/>
        <family val="2"/>
      </rPr>
      <t xml:space="preserve">在更强国家；无 ≥</t>
    </r>
    <r>
      <rPr>
        <sz val="10"/>
        <rFont val="Arial"/>
        <family val="0"/>
        <charset val="1"/>
      </rPr>
      <t xml:space="preserve">20% exposure </t>
    </r>
    <r>
      <rPr>
        <sz val="10"/>
        <rFont val="Noto Sans CJK SC"/>
        <family val="2"/>
      </rPr>
      <t xml:space="preserve">于等于或弱于 </t>
    </r>
    <r>
      <rPr>
        <sz val="10"/>
        <rFont val="Arial"/>
        <family val="0"/>
        <charset val="1"/>
      </rPr>
      <t xml:space="preserve">preliminary CR </t>
    </r>
    <r>
      <rPr>
        <sz val="10"/>
        <rFont val="Noto Sans CJK SC"/>
        <family val="2"/>
      </rPr>
      <t xml:space="preserve">的国家；</t>
    </r>
    <r>
      <rPr>
        <sz val="10"/>
        <rFont val="Arial"/>
        <family val="0"/>
        <charset val="1"/>
      </rPr>
      <t xml:space="preserve">holding </t>
    </r>
    <r>
      <rPr>
        <sz val="10"/>
        <rFont val="Noto Sans CJK SC"/>
        <family val="2"/>
      </rPr>
      <t xml:space="preserve">层面融资；</t>
    </r>
    <r>
      <rPr>
        <sz val="10"/>
        <rFont val="Arial"/>
        <family val="0"/>
        <charset val="1"/>
      </rPr>
      <t xml:space="preserve">IR ≤4</t>
    </r>
    <r>
      <rPr>
        <sz val="10"/>
        <rFont val="Noto Sans CJK SC"/>
        <family val="2"/>
      </rPr>
      <t xml:space="preserve">）时 </t>
    </r>
    <r>
      <rPr>
        <sz val="10"/>
        <rFont val="Arial"/>
        <family val="0"/>
        <charset val="1"/>
      </rPr>
      <t xml:space="preserve">preliminary CR </t>
    </r>
    <r>
      <rPr>
        <sz val="10"/>
        <rFont val="Noto Sans CJK SC"/>
        <family val="2"/>
      </rPr>
      <t xml:space="preserve">改善 </t>
    </r>
    <r>
      <rPr>
        <sz val="10"/>
        <rFont val="Arial"/>
        <family val="0"/>
        <charset val="1"/>
      </rPr>
      <t xml:space="preserve">1 </t>
    </r>
    <r>
      <rPr>
        <sz val="10"/>
        <rFont val="Noto Sans CJK SC"/>
        <family val="2"/>
      </rPr>
      <t xml:space="preserve">个 </t>
    </r>
    <r>
      <rPr>
        <sz val="10"/>
        <rFont val="Arial"/>
        <family val="0"/>
        <charset val="1"/>
      </rPr>
      <t xml:space="preserve">category</t>
    </r>
    <r>
      <rPr>
        <sz val="10"/>
        <rFont val="Noto Sans CJK SC"/>
        <family val="2"/>
      </rPr>
      <t xml:space="preserve">。</t>
    </r>
  </si>
  <si>
    <r>
      <rPr>
        <sz val="10"/>
        <rFont val="Arial"/>
        <family val="0"/>
        <charset val="1"/>
      </rPr>
      <t xml:space="preserve">Removed</t>
    </r>
    <r>
      <rPr>
        <sz val="10"/>
        <rFont val="Noto Sans CJK SC"/>
        <family val="2"/>
      </rPr>
      <t xml:space="preserve">。</t>
    </r>
  </si>
  <si>
    <t xml:space="preserve">Slide 4 "REMOVE concepts of preliminary country risk, adjusted country risk"</t>
  </si>
  <si>
    <r>
      <rPr>
        <sz val="10"/>
        <rFont val="Arial"/>
        <family val="0"/>
        <charset val="1"/>
      </rPr>
      <t xml:space="preserve">C&amp;G RAS para 57 </t>
    </r>
    <r>
      <rPr>
        <sz val="10"/>
        <rFont val="Noto Sans CJK SC"/>
        <family val="2"/>
      </rPr>
      <t xml:space="preserve">保留了同样三个条件的 </t>
    </r>
    <r>
      <rPr>
        <sz val="10"/>
        <rFont val="Arial"/>
        <family val="0"/>
        <charset val="1"/>
      </rPr>
      <t xml:space="preserve">+1 </t>
    </r>
    <r>
      <rPr>
        <sz val="10"/>
        <rFont val="Noto Sans CJK SC"/>
        <family val="2"/>
      </rPr>
      <t xml:space="preserve">机制（针对 </t>
    </r>
    <r>
      <rPr>
        <sz val="10"/>
        <rFont val="Arial"/>
        <family val="0"/>
        <charset val="1"/>
      </rPr>
      <t xml:space="preserve">sovereign rating</t>
    </r>
    <r>
      <rPr>
        <sz val="10"/>
        <rFont val="Noto Sans CJK SC"/>
        <family val="2"/>
      </rPr>
      <t xml:space="preserve">），两个 </t>
    </r>
    <r>
      <rPr>
        <sz val="10"/>
        <rFont val="Arial"/>
        <family val="0"/>
        <charset val="1"/>
      </rPr>
      <t xml:space="preserve">criteria </t>
    </r>
    <r>
      <rPr>
        <sz val="10"/>
        <rFont val="Noto Sans CJK SC"/>
        <family val="2"/>
      </rPr>
      <t xml:space="preserve">由此分叉。</t>
    </r>
  </si>
  <si>
    <t xml:space="preserve">para 50</t>
  </si>
  <si>
    <r>
      <rPr>
        <sz val="10"/>
        <rFont val="Arial"/>
        <family val="0"/>
        <charset val="1"/>
      </rPr>
      <t xml:space="preserve">75% </t>
    </r>
    <r>
      <rPr>
        <sz val="10"/>
        <rFont val="Noto Sans CJK SC"/>
        <family val="2"/>
      </rPr>
      <t xml:space="preserve">单一 </t>
    </r>
    <r>
      <rPr>
        <sz val="10"/>
        <rFont val="Arial"/>
        <family val="0"/>
        <charset val="1"/>
      </rPr>
      <t xml:space="preserve">jurisdiction </t>
    </r>
    <r>
      <rPr>
        <sz val="10"/>
        <rFont val="Noto Sans CJK SC"/>
        <family val="2"/>
      </rPr>
      <t xml:space="preserve">规则</t>
    </r>
  </si>
  <si>
    <r>
      <rPr>
        <sz val="10"/>
        <rFont val="Arial"/>
        <family val="0"/>
        <charset val="1"/>
      </rPr>
      <t xml:space="preserve">≥75% exposure </t>
    </r>
    <r>
      <rPr>
        <sz val="10"/>
        <rFont val="Noto Sans CJK SC"/>
        <family val="2"/>
      </rPr>
      <t xml:space="preserve">于一国的公司 </t>
    </r>
    <r>
      <rPr>
        <sz val="10"/>
        <rFont val="Arial"/>
        <family val="0"/>
        <charset val="1"/>
      </rPr>
      <t xml:space="preserve">CR </t>
    </r>
    <r>
      <rPr>
        <sz val="10"/>
        <rFont val="Noto Sans CJK SC"/>
        <family val="2"/>
      </rPr>
      <t xml:space="preserve">不能改善，可因其余 </t>
    </r>
    <r>
      <rPr>
        <sz val="10"/>
        <rFont val="Arial"/>
        <family val="0"/>
        <charset val="1"/>
      </rPr>
      <t xml:space="preserve">exposure </t>
    </r>
    <r>
      <rPr>
        <sz val="10"/>
        <rFont val="Noto Sans CJK SC"/>
        <family val="2"/>
      </rPr>
      <t xml:space="preserve">在更高风险国而恶化。</t>
    </r>
  </si>
  <si>
    <r>
      <rPr>
        <sz val="10"/>
        <rFont val="Arial"/>
        <family val="0"/>
        <charset val="1"/>
      </rPr>
      <t xml:space="preserve">Removed</t>
    </r>
    <r>
      <rPr>
        <sz val="10"/>
        <rFont val="Noto Sans CJK SC"/>
        <family val="2"/>
      </rPr>
      <t xml:space="preserve">（随 </t>
    </r>
    <r>
      <rPr>
        <sz val="10"/>
        <rFont val="Arial"/>
        <family val="0"/>
        <charset val="1"/>
      </rPr>
      <t xml:space="preserve">paras 48–51</t>
    </r>
    <r>
      <rPr>
        <sz val="10"/>
        <rFont val="Noto Sans CJK SC"/>
        <family val="2"/>
      </rPr>
      <t xml:space="preserve">）。</t>
    </r>
  </si>
  <si>
    <t xml:space="preserve">Slide 2 "remove concepts of preliminary country risk, adjusted country risk, etc."</t>
  </si>
  <si>
    <r>
      <rPr>
        <sz val="10"/>
        <rFont val="Noto Sans CJK SC"/>
        <family val="2"/>
      </rPr>
      <t xml:space="preserve">在纯 </t>
    </r>
    <r>
      <rPr>
        <sz val="10"/>
        <rFont val="Arial"/>
        <family val="0"/>
        <charset val="1"/>
      </rPr>
      <t xml:space="preserve">weighted average </t>
    </r>
    <r>
      <rPr>
        <sz val="10"/>
        <rFont val="Noto Sans CJK SC"/>
        <family val="2"/>
      </rPr>
      <t xml:space="preserve">下 </t>
    </r>
    <r>
      <rPr>
        <sz val="10"/>
        <rFont val="Arial"/>
        <family val="0"/>
        <charset val="1"/>
      </rPr>
      <t xml:space="preserve">"</t>
    </r>
    <r>
      <rPr>
        <sz val="10"/>
        <rFont val="Noto Sans CJK SC"/>
        <family val="2"/>
      </rPr>
      <t xml:space="preserve">不能改善</t>
    </r>
    <r>
      <rPr>
        <sz val="10"/>
        <rFont val="Arial"/>
        <family val="0"/>
        <charset val="1"/>
      </rPr>
      <t xml:space="preserve">" </t>
    </r>
    <r>
      <rPr>
        <sz val="10"/>
        <rFont val="Noto Sans CJK SC"/>
        <family val="2"/>
      </rPr>
      <t xml:space="preserve">自动成立，</t>
    </r>
    <r>
      <rPr>
        <sz val="10"/>
        <rFont val="Arial"/>
        <family val="0"/>
        <charset val="1"/>
      </rPr>
      <t xml:space="preserve">"</t>
    </r>
    <r>
      <rPr>
        <sz val="10"/>
        <rFont val="Noto Sans CJK SC"/>
        <family val="2"/>
      </rPr>
      <t xml:space="preserve">可恶化</t>
    </r>
    <r>
      <rPr>
        <sz val="10"/>
        <rFont val="Arial"/>
        <family val="0"/>
        <charset val="1"/>
      </rPr>
      <t xml:space="preserve">" </t>
    </r>
    <r>
      <rPr>
        <sz val="10"/>
        <rFont val="Noto Sans CJK SC"/>
        <family val="2"/>
      </rPr>
      <t xml:space="preserve">由 </t>
    </r>
    <r>
      <rPr>
        <sz val="10"/>
        <rFont val="Arial"/>
        <family val="0"/>
        <charset val="1"/>
      </rPr>
      <t xml:space="preserve">weighted average </t>
    </r>
    <r>
      <rPr>
        <sz val="10"/>
        <rFont val="Noto Sans CJK SC"/>
        <family val="2"/>
      </rPr>
      <t xml:space="preserve">或 −</t>
    </r>
    <r>
      <rPr>
        <sz val="10"/>
        <rFont val="Arial"/>
        <family val="0"/>
        <charset val="1"/>
      </rPr>
      <t xml:space="preserve">1 notching </t>
    </r>
    <r>
      <rPr>
        <sz val="10"/>
        <rFont val="Noto Sans CJK SC"/>
        <family val="2"/>
      </rPr>
      <t xml:space="preserve">覆盖；无实质损失。</t>
    </r>
  </si>
  <si>
    <t xml:space="preserve">13</t>
  </si>
  <si>
    <t xml:space="preserve">para 51</t>
  </si>
  <si>
    <r>
      <rPr>
        <sz val="10"/>
        <rFont val="Arial"/>
        <family val="0"/>
        <charset val="1"/>
      </rPr>
      <t xml:space="preserve">Head office </t>
    </r>
    <r>
      <rPr>
        <sz val="10"/>
        <rFont val="Noto Sans CJK SC"/>
        <family val="2"/>
      </rPr>
      <t xml:space="preserve">的定义</t>
    </r>
  </si>
  <si>
    <r>
      <rPr>
        <sz val="10"/>
        <rFont val="Noto Sans CJK SC"/>
        <family val="2"/>
      </rPr>
      <t xml:space="preserve">按 </t>
    </r>
    <r>
      <rPr>
        <sz val="10"/>
        <rFont val="Arial"/>
        <family val="0"/>
        <charset val="1"/>
      </rPr>
      <t xml:space="preserve">de facto </t>
    </r>
    <r>
      <rPr>
        <sz val="10"/>
        <rFont val="Noto Sans CJK SC"/>
        <family val="2"/>
      </rPr>
      <t xml:space="preserve">经营地（</t>
    </r>
    <r>
      <rPr>
        <sz val="10"/>
        <rFont val="Arial"/>
        <family val="0"/>
        <charset val="1"/>
      </rPr>
      <t xml:space="preserve">executive management</t>
    </r>
    <r>
      <rPr>
        <sz val="10"/>
        <rFont val="Noto Sans CJK SC"/>
        <family val="2"/>
      </rPr>
      <t xml:space="preserve">、</t>
    </r>
    <r>
      <rPr>
        <sz val="10"/>
        <rFont val="Arial"/>
        <family val="0"/>
        <charset val="1"/>
      </rPr>
      <t xml:space="preserve">strategic planning</t>
    </r>
    <r>
      <rPr>
        <sz val="10"/>
        <rFont val="Noto Sans CJK SC"/>
        <family val="2"/>
      </rPr>
      <t xml:space="preserve">、</t>
    </r>
    <r>
      <rPr>
        <sz val="10"/>
        <rFont val="Arial"/>
        <family val="0"/>
        <charset val="1"/>
      </rPr>
      <t xml:space="preserve">capital raising</t>
    </r>
    <r>
      <rPr>
        <sz val="10"/>
        <rFont val="Noto Sans CJK SC"/>
        <family val="2"/>
      </rPr>
      <t xml:space="preserve">）而非注册地；多地时取最弱国家的 </t>
    </r>
    <r>
      <rPr>
        <sz val="10"/>
        <rFont val="Arial"/>
        <family val="0"/>
        <charset val="1"/>
      </rPr>
      <t xml:space="preserve">CR</t>
    </r>
    <r>
      <rPr>
        <sz val="10"/>
        <rFont val="Noto Sans CJK SC"/>
        <family val="2"/>
      </rPr>
      <t xml:space="preserve">。</t>
    </r>
  </si>
  <si>
    <r>
      <rPr>
        <sz val="10"/>
        <rFont val="Arial"/>
        <family val="0"/>
        <charset val="1"/>
      </rPr>
      <t xml:space="preserve">Modified</t>
    </r>
    <r>
      <rPr>
        <sz val="10"/>
        <rFont val="Noto Sans CJK SC"/>
        <family val="2"/>
      </rPr>
      <t xml:space="preserve">：</t>
    </r>
    <r>
      <rPr>
        <sz val="10"/>
        <rFont val="Arial"/>
        <family val="0"/>
        <charset val="1"/>
      </rPr>
      <t xml:space="preserve">head office </t>
    </r>
    <r>
      <rPr>
        <sz val="10"/>
        <rFont val="Noto Sans CJK SC"/>
        <family val="2"/>
      </rPr>
      <t xml:space="preserve">保留为 </t>
    </r>
    <r>
      <rPr>
        <sz val="10"/>
        <rFont val="Arial"/>
        <family val="0"/>
        <charset val="1"/>
      </rPr>
      <t xml:space="preserve">exposure </t>
    </r>
    <r>
      <rPr>
        <sz val="10"/>
        <rFont val="Noto Sans CJK SC"/>
        <family val="2"/>
      </rPr>
      <t xml:space="preserve">指标之一；</t>
    </r>
    <r>
      <rPr>
        <sz val="10"/>
        <rFont val="Arial"/>
        <family val="0"/>
        <charset val="1"/>
      </rPr>
      <t xml:space="preserve">de facto </t>
    </r>
    <r>
      <rPr>
        <sz val="10"/>
        <rFont val="Noto Sans CJK SC"/>
        <family val="2"/>
      </rPr>
      <t xml:space="preserve">定义是否保留未提。</t>
    </r>
  </si>
  <si>
    <t xml:space="preserve">Slide 2 "location of head office"</t>
  </si>
  <si>
    <r>
      <rPr>
        <sz val="10"/>
        <rFont val="Noto Sans CJK SC"/>
        <family val="2"/>
      </rPr>
      <t xml:space="preserve">若删除 </t>
    </r>
    <r>
      <rPr>
        <sz val="10"/>
        <rFont val="Arial"/>
        <family val="0"/>
        <charset val="1"/>
      </rPr>
      <t xml:space="preserve">de facto </t>
    </r>
    <r>
      <rPr>
        <sz val="10"/>
        <rFont val="Noto Sans CJK SC"/>
        <family val="2"/>
      </rPr>
      <t xml:space="preserve">定义，</t>
    </r>
    <r>
      <rPr>
        <sz val="10"/>
        <rFont val="Arial"/>
        <family val="0"/>
        <charset val="1"/>
      </rPr>
      <t xml:space="preserve">head office </t>
    </r>
    <r>
      <rPr>
        <sz val="10"/>
        <rFont val="Noto Sans CJK SC"/>
        <family val="2"/>
      </rPr>
      <t xml:space="preserve">作为指标的口径变得不确定。</t>
    </r>
  </si>
  <si>
    <t xml:space="preserve">14</t>
  </si>
  <si>
    <t xml:space="preserve">Appendix A Table 26</t>
  </si>
  <si>
    <r>
      <rPr>
        <sz val="10"/>
        <rFont val="Arial"/>
        <family val="0"/>
        <charset val="1"/>
      </rPr>
      <t xml:space="preserve">Region </t>
    </r>
    <r>
      <rPr>
        <sz val="10"/>
        <rFont val="Noto Sans CJK SC"/>
        <family val="2"/>
      </rPr>
      <t xml:space="preserve">的构成</t>
    </r>
  </si>
  <si>
    <r>
      <rPr>
        <sz val="10"/>
        <rFont val="Noto Sans CJK SC"/>
        <family val="2"/>
      </rPr>
      <t xml:space="preserve">列出各 </t>
    </r>
    <r>
      <rPr>
        <sz val="10"/>
        <rFont val="Arial"/>
        <family val="0"/>
        <charset val="1"/>
      </rPr>
      <t xml:space="preserve">region </t>
    </r>
    <r>
      <rPr>
        <sz val="10"/>
        <rFont val="Noto Sans CJK SC"/>
        <family val="2"/>
      </rPr>
      <t xml:space="preserve">的成员国。</t>
    </r>
  </si>
  <si>
    <r>
      <rPr>
        <sz val="10"/>
        <rFont val="Arial"/>
        <family val="0"/>
        <charset val="1"/>
      </rPr>
      <t xml:space="preserve">Retained</t>
    </r>
    <r>
      <rPr>
        <sz val="10"/>
        <rFont val="Noto Sans CJK SC"/>
        <family val="2"/>
      </rPr>
      <t xml:space="preserve">（</t>
    </r>
    <r>
      <rPr>
        <sz val="10"/>
        <rFont val="Arial"/>
        <family val="0"/>
        <charset val="1"/>
      </rPr>
      <t xml:space="preserve">region </t>
    </r>
    <r>
      <rPr>
        <sz val="10"/>
        <rFont val="Noto Sans CJK SC"/>
        <family val="2"/>
      </rPr>
      <t xml:space="preserve">仍是输入）；未明示。</t>
    </r>
  </si>
  <si>
    <r>
      <rPr>
        <sz val="10"/>
        <rFont val="Arial"/>
        <family val="0"/>
        <charset val="1"/>
      </rPr>
      <t xml:space="preserve">Slide 12 CCST </t>
    </r>
    <r>
      <rPr>
        <sz val="10"/>
        <rFont val="Noto Sans CJK SC"/>
        <family val="2"/>
      </rPr>
      <t xml:space="preserve">截图 </t>
    </r>
    <r>
      <rPr>
        <sz val="10"/>
        <rFont val="Arial"/>
        <family val="0"/>
        <charset val="1"/>
      </rPr>
      <t xml:space="preserve">Region </t>
    </r>
    <r>
      <rPr>
        <sz val="10"/>
        <rFont val="Noto Sans CJK SC"/>
        <family val="2"/>
      </rPr>
      <t xml:space="preserve">字段</t>
    </r>
  </si>
  <si>
    <r>
      <rPr>
        <sz val="10"/>
        <rFont val="Noto Sans CJK SC"/>
        <family val="2"/>
      </rPr>
      <t xml:space="preserve">同时被 </t>
    </r>
    <r>
      <rPr>
        <sz val="10"/>
        <rFont val="Arial"/>
        <family val="0"/>
        <charset val="1"/>
      </rPr>
      <t xml:space="preserve">para 134</t>
    </r>
    <r>
      <rPr>
        <sz val="10"/>
        <rFont val="Noto Sans CJK SC"/>
        <family val="2"/>
      </rPr>
      <t xml:space="preserve">（</t>
    </r>
    <r>
      <rPr>
        <sz val="10"/>
        <rFont val="Arial"/>
        <family val="0"/>
        <charset val="1"/>
      </rPr>
      <t xml:space="preserve">Diversification modifier </t>
    </r>
    <r>
      <rPr>
        <sz val="10"/>
        <rFont val="Noto Sans CJK SC"/>
        <family val="2"/>
      </rPr>
      <t xml:space="preserve">的 </t>
    </r>
    <r>
      <rPr>
        <sz val="10"/>
        <rFont val="Arial"/>
        <family val="0"/>
        <charset val="1"/>
      </rPr>
      <t xml:space="preserve">correlation </t>
    </r>
    <r>
      <rPr>
        <sz val="10"/>
        <rFont val="Noto Sans CJK SC"/>
        <family val="2"/>
      </rPr>
      <t xml:space="preserve">判断）引用；</t>
    </r>
    <r>
      <rPr>
        <sz val="10"/>
        <rFont val="Arial"/>
        <family val="0"/>
        <charset val="1"/>
      </rPr>
      <t xml:space="preserve">#8 </t>
    </r>
    <r>
      <rPr>
        <sz val="10"/>
        <rFont val="Noto Sans CJK SC"/>
        <family val="2"/>
      </rPr>
      <t xml:space="preserve">删除该 </t>
    </r>
    <r>
      <rPr>
        <sz val="10"/>
        <rFont val="Arial"/>
        <family val="0"/>
        <charset val="1"/>
      </rPr>
      <t xml:space="preserve">modifier </t>
    </r>
    <r>
      <rPr>
        <sz val="10"/>
        <rFont val="Noto Sans CJK SC"/>
        <family val="2"/>
      </rPr>
      <t xml:space="preserve">后 </t>
    </r>
    <r>
      <rPr>
        <sz val="10"/>
        <rFont val="Arial"/>
        <family val="0"/>
        <charset val="1"/>
      </rPr>
      <t xml:space="preserve">Table 26 </t>
    </r>
    <r>
      <rPr>
        <sz val="10"/>
        <rFont val="Noto Sans CJK SC"/>
        <family val="2"/>
      </rPr>
      <t xml:space="preserve">只剩 </t>
    </r>
    <r>
      <rPr>
        <sz val="10"/>
        <rFont val="Arial"/>
        <family val="0"/>
        <charset val="1"/>
      </rPr>
      <t xml:space="preserve">country risk </t>
    </r>
    <r>
      <rPr>
        <sz val="10"/>
        <rFont val="Noto Sans CJK SC"/>
        <family val="2"/>
      </rPr>
      <t xml:space="preserve">一个用途。</t>
    </r>
  </si>
  <si>
    <t xml:space="preserve">15</t>
  </si>
  <si>
    <t xml:space="preserve">新增</t>
  </si>
  <si>
    <t xml:space="preserve">−1 notching adjustment</t>
  </si>
  <si>
    <r>
      <rPr>
        <sz val="10"/>
        <rFont val="Arial"/>
        <family val="0"/>
        <charset val="1"/>
      </rPr>
      <t xml:space="preserve">New</t>
    </r>
    <r>
      <rPr>
        <sz val="10"/>
        <rFont val="Noto Sans CJK SC"/>
        <family val="2"/>
      </rPr>
      <t xml:space="preserve">：对 </t>
    </r>
    <r>
      <rPr>
        <sz val="10"/>
        <rFont val="Arial"/>
        <family val="0"/>
        <charset val="1"/>
      </rPr>
      <t xml:space="preserve">weighted average outcome </t>
    </r>
    <r>
      <rPr>
        <sz val="10"/>
        <rFont val="Noto Sans CJK SC"/>
        <family val="2"/>
      </rPr>
      <t xml:space="preserve">可 −</t>
    </r>
    <r>
      <rPr>
        <sz val="10"/>
        <rFont val="Arial"/>
        <family val="0"/>
        <charset val="1"/>
      </rPr>
      <t xml:space="preserve">1</t>
    </r>
    <r>
      <rPr>
        <sz val="10"/>
        <rFont val="Noto Sans CJK SC"/>
        <family val="2"/>
      </rPr>
      <t xml:space="preserve">，示例为依赖高风险国的 </t>
    </r>
    <r>
      <rPr>
        <sz val="10"/>
        <rFont val="Arial"/>
        <family val="0"/>
        <charset val="1"/>
      </rPr>
      <t xml:space="preserve">dominant supplier</t>
    </r>
    <r>
      <rPr>
        <sz val="10"/>
        <rFont val="Noto Sans CJK SC"/>
        <family val="2"/>
      </rPr>
      <t xml:space="preserve">。</t>
    </r>
  </si>
  <si>
    <t xml:space="preserve">Slide 2 "Allow for notching"</t>
  </si>
  <si>
    <r>
      <rPr>
        <sz val="10"/>
        <rFont val="Noto Sans CJK SC"/>
        <family val="2"/>
      </rPr>
      <t xml:space="preserve">只有示例，没有触发条件；</t>
    </r>
    <r>
      <rPr>
        <sz val="10"/>
        <rFont val="Arial"/>
        <family val="0"/>
        <charset val="1"/>
      </rPr>
      <t xml:space="preserve">C&amp;G RAS para 58 </t>
    </r>
    <r>
      <rPr>
        <sz val="10"/>
        <rFont val="Noto Sans CJK SC"/>
        <family val="2"/>
      </rPr>
      <t xml:space="preserve">的 −</t>
    </r>
    <r>
      <rPr>
        <sz val="10"/>
        <rFont val="Arial"/>
        <family val="0"/>
        <charset val="1"/>
      </rPr>
      <t xml:space="preserve">1 </t>
    </r>
    <r>
      <rPr>
        <sz val="10"/>
        <rFont val="Noto Sans CJK SC"/>
        <family val="2"/>
      </rPr>
      <t xml:space="preserve">有 </t>
    </r>
    <r>
      <rPr>
        <sz val="10"/>
        <rFont val="Arial"/>
        <family val="0"/>
        <charset val="1"/>
      </rPr>
      <t xml:space="preserve">defined conditions </t>
    </r>
    <r>
      <rPr>
        <sz val="10"/>
        <rFont val="Noto Sans CJK SC"/>
        <family val="2"/>
      </rPr>
      <t xml:space="preserve">可作对照。</t>
    </r>
  </si>
  <si>
    <t xml:space="preserve">16</t>
  </si>
  <si>
    <t xml:space="preserve">考虑后否决</t>
  </si>
  <si>
    <t xml:space="preserve">+1 adjustment for diversity</t>
  </si>
  <si>
    <r>
      <rPr>
        <sz val="10"/>
        <rFont val="Arial"/>
        <family val="0"/>
        <charset val="1"/>
      </rPr>
      <t xml:space="preserve">Considered and rejected</t>
    </r>
    <r>
      <rPr>
        <sz val="10"/>
        <rFont val="Noto Sans CJK SC"/>
        <family val="2"/>
      </rPr>
      <t xml:space="preserve">（多数认为与 </t>
    </r>
    <r>
      <rPr>
        <sz val="10"/>
        <rFont val="Arial"/>
        <family val="0"/>
        <charset val="1"/>
      </rPr>
      <t xml:space="preserve">S/S/D double counting</t>
    </r>
    <r>
      <rPr>
        <sz val="10"/>
        <rFont val="Noto Sans CJK SC"/>
        <family val="2"/>
      </rPr>
      <t xml:space="preserve">）。</t>
    </r>
  </si>
  <si>
    <t xml:space="preserve">Slide 2 "We considered allowing to adjust ... positively by 1"</t>
  </si>
  <si>
    <r>
      <rPr>
        <sz val="10"/>
        <rFont val="Arial"/>
        <family val="0"/>
        <charset val="1"/>
      </rPr>
      <t xml:space="preserve">S/S/D paras 217–219 </t>
    </r>
    <r>
      <rPr>
        <sz val="10"/>
        <rFont val="Noto Sans CJK SC"/>
        <family val="2"/>
      </rPr>
      <t xml:space="preserve">讨论地理集中度而非 </t>
    </r>
    <r>
      <rPr>
        <sz val="10"/>
        <rFont val="Arial"/>
        <family val="0"/>
        <charset val="1"/>
      </rPr>
      <t xml:space="preserve">country risk level </t>
    </r>
    <r>
      <rPr>
        <sz val="10"/>
        <rFont val="Noto Sans CJK SC"/>
        <family val="2"/>
      </rPr>
      <t xml:space="preserve">的分散，</t>
    </r>
    <r>
      <rPr>
        <sz val="10"/>
        <rFont val="Arial"/>
        <family val="0"/>
        <charset val="1"/>
      </rPr>
      <t xml:space="preserve">double-counting </t>
    </r>
    <r>
      <rPr>
        <sz val="10"/>
        <rFont val="Noto Sans CJK SC"/>
        <family val="2"/>
      </rPr>
      <t xml:space="preserve">论证需 </t>
    </r>
    <r>
      <rPr>
        <sz val="10"/>
        <rFont val="Arial"/>
        <family val="0"/>
        <charset val="1"/>
      </rPr>
      <t xml:space="preserve">draft </t>
    </r>
    <r>
      <rPr>
        <sz val="10"/>
        <rFont val="Noto Sans CJK SC"/>
        <family val="2"/>
      </rPr>
      <t xml:space="preserve">支持。</t>
    </r>
  </si>
  <si>
    <t xml:space="preserve">17</t>
  </si>
  <si>
    <t xml:space="preserve">CCST</t>
  </si>
  <si>
    <r>
      <rPr>
        <sz val="10"/>
        <rFont val="Arial"/>
        <family val="0"/>
        <charset val="1"/>
      </rPr>
      <t xml:space="preserve">5% </t>
    </r>
    <r>
      <rPr>
        <sz val="10"/>
        <rFont val="Noto Sans CJK SC"/>
        <family val="2"/>
      </rPr>
      <t xml:space="preserve">增量 </t>
    </r>
    <r>
      <rPr>
        <sz val="10"/>
        <rFont val="Arial"/>
        <family val="0"/>
        <charset val="1"/>
      </rPr>
      <t xml:space="preserve">rounding </t>
    </r>
    <r>
      <rPr>
        <sz val="10"/>
        <rFont val="Noto Sans CJK SC"/>
        <family val="2"/>
      </rPr>
      <t xml:space="preserve">与输入方式</t>
    </r>
  </si>
  <si>
    <r>
      <rPr>
        <sz val="10"/>
        <rFont val="Arial"/>
        <family val="0"/>
        <charset val="1"/>
      </rPr>
      <t xml:space="preserve">CCST </t>
    </r>
    <r>
      <rPr>
        <sz val="10"/>
        <rFont val="Noto Sans CJK SC"/>
        <family val="2"/>
      </rPr>
      <t xml:space="preserve">将权重 </t>
    </r>
    <r>
      <rPr>
        <sz val="10"/>
        <rFont val="Arial"/>
        <family val="0"/>
        <charset val="1"/>
      </rPr>
      <t xml:space="preserve">round </t>
    </r>
    <r>
      <rPr>
        <sz val="10"/>
        <rFont val="Noto Sans CJK SC"/>
        <family val="2"/>
      </rPr>
      <t xml:space="preserve">到 </t>
    </r>
    <r>
      <rPr>
        <sz val="10"/>
        <rFont val="Arial"/>
        <family val="0"/>
        <charset val="1"/>
      </rPr>
      <t xml:space="preserve">5% </t>
    </r>
    <r>
      <rPr>
        <sz val="10"/>
        <rFont val="Noto Sans CJK SC"/>
        <family val="2"/>
      </rPr>
      <t xml:space="preserve">增量。</t>
    </r>
  </si>
  <si>
    <r>
      <rPr>
        <sz val="10"/>
        <rFont val="Arial"/>
        <family val="0"/>
        <charset val="1"/>
      </rPr>
      <t xml:space="preserve">Removed</t>
    </r>
    <r>
      <rPr>
        <sz val="10"/>
        <rFont val="Noto Sans CJK SC"/>
        <family val="2"/>
      </rPr>
      <t xml:space="preserve">；数据按 </t>
    </r>
    <r>
      <rPr>
        <sz val="10"/>
        <rFont val="Arial"/>
        <family val="0"/>
        <charset val="1"/>
      </rPr>
      <t xml:space="preserve">reported </t>
    </r>
    <r>
      <rPr>
        <sz val="10"/>
        <rFont val="Noto Sans CJK SC"/>
        <family val="2"/>
      </rPr>
      <t xml:space="preserve">输入；新 </t>
    </r>
    <r>
      <rPr>
        <sz val="10"/>
        <rFont val="Arial"/>
        <family val="0"/>
        <charset val="1"/>
      </rPr>
      <t xml:space="preserve">UI </t>
    </r>
    <r>
      <rPr>
        <sz val="10"/>
        <rFont val="Noto Sans CJK SC"/>
        <family val="2"/>
      </rPr>
      <t xml:space="preserve">显示 </t>
    </r>
    <r>
      <rPr>
        <sz val="10"/>
        <rFont val="Arial"/>
        <family val="0"/>
        <charset val="1"/>
      </rPr>
      <t xml:space="preserve">"Model derived Country Risk" </t>
    </r>
    <r>
      <rPr>
        <sz val="10"/>
        <rFont val="Noto Sans CJK SC"/>
        <family val="2"/>
      </rPr>
      <t xml:space="preserve">与 </t>
    </r>
    <r>
      <rPr>
        <sz val="10"/>
        <rFont val="Arial"/>
        <family val="0"/>
        <charset val="1"/>
      </rPr>
      <t xml:space="preserve">notching </t>
    </r>
    <r>
      <rPr>
        <sz val="10"/>
        <rFont val="Noto Sans CJK SC"/>
        <family val="2"/>
      </rPr>
      <t xml:space="preserve">字段。</t>
    </r>
  </si>
  <si>
    <r>
      <rPr>
        <sz val="10"/>
        <rFont val="Arial"/>
        <family val="0"/>
        <charset val="1"/>
      </rPr>
      <t xml:space="preserve">Slide 2</t>
    </r>
    <r>
      <rPr>
        <sz val="10"/>
        <rFont val="Noto Sans CJK SC"/>
        <family val="2"/>
      </rPr>
      <t xml:space="preserve">；</t>
    </r>
    <r>
      <rPr>
        <sz val="10"/>
        <rFont val="Arial"/>
        <family val="0"/>
        <charset val="1"/>
      </rPr>
      <t xml:space="preserve">Slide 12</t>
    </r>
  </si>
  <si>
    <r>
      <rPr>
        <sz val="10"/>
        <rFont val="Noto Sans CJK SC"/>
        <family val="2"/>
      </rPr>
      <t xml:space="preserve">属于 </t>
    </r>
    <r>
      <rPr>
        <sz val="10"/>
        <rFont val="Arial"/>
        <family val="0"/>
        <charset val="1"/>
      </rPr>
      <t xml:space="preserve">model / UI </t>
    </r>
    <r>
      <rPr>
        <sz val="10"/>
        <rFont val="Noto Sans CJK SC"/>
        <family val="2"/>
      </rPr>
      <t xml:space="preserve">变更；需确认是否有单独的 </t>
    </r>
    <r>
      <rPr>
        <sz val="10"/>
        <rFont val="Arial"/>
        <family val="0"/>
        <charset val="1"/>
      </rPr>
      <t xml:space="preserve">model validation</t>
    </r>
    <r>
      <rPr>
        <sz val="10"/>
        <rFont val="Noto Sans CJK SC"/>
        <family val="2"/>
      </rPr>
      <t xml:space="preserve">。</t>
    </r>
  </si>
  <si>
    <r>
      <rPr>
        <sz val="10"/>
        <rFont val="Noto Sans CJK SC"/>
        <family val="2"/>
      </rPr>
      <t xml:space="preserve">待 </t>
    </r>
    <r>
      <rPr>
        <sz val="10"/>
        <rFont val="Arial"/>
        <family val="0"/>
        <charset val="1"/>
      </rPr>
      <t xml:space="preserve">A.5</t>
    </r>
  </si>
  <si>
    <t xml:space="preserve">18</t>
  </si>
  <si>
    <t xml:space="preserve">Slide 1 follow-up</t>
  </si>
  <si>
    <r>
      <rPr>
        <sz val="10"/>
        <rFont val="Arial"/>
        <family val="0"/>
        <charset val="1"/>
      </rPr>
      <t xml:space="preserve">CR 1–3 </t>
    </r>
    <r>
      <rPr>
        <sz val="10"/>
        <rFont val="Noto Sans CJK SC"/>
        <family val="2"/>
      </rPr>
      <t xml:space="preserve">不做 </t>
    </r>
    <r>
      <rPr>
        <sz val="10"/>
        <rFont val="Arial"/>
        <family val="0"/>
        <charset val="1"/>
      </rPr>
      <t xml:space="preserve">country risk analysis</t>
    </r>
  </si>
  <si>
    <r>
      <rPr>
        <sz val="10"/>
        <rFont val="Noto Sans CJK SC"/>
        <family val="2"/>
      </rPr>
      <t xml:space="preserve">未进入 </t>
    </r>
    <r>
      <rPr>
        <sz val="10"/>
        <rFont val="Arial"/>
        <family val="0"/>
        <charset val="1"/>
      </rPr>
      <t xml:space="preserve">proposal</t>
    </r>
    <r>
      <rPr>
        <sz val="10"/>
        <rFont val="Noto Sans CJK SC"/>
        <family val="2"/>
      </rPr>
      <t xml:space="preserve">（</t>
    </r>
    <r>
      <rPr>
        <sz val="10"/>
        <rFont val="Arial"/>
        <family val="0"/>
        <charset val="1"/>
      </rPr>
      <t xml:space="preserve">Slide 2 </t>
    </r>
    <r>
      <rPr>
        <sz val="10"/>
        <rFont val="Noto Sans CJK SC"/>
        <family val="2"/>
      </rPr>
      <t xml:space="preserve">未提）。</t>
    </r>
  </si>
  <si>
    <t xml:space="preserve">Slide 1 "shall we remove country risk analysis when 1, 2, 3?"</t>
  </si>
  <si>
    <r>
      <rPr>
        <sz val="10"/>
        <rFont val="Noto Sans CJK SC"/>
        <family val="2"/>
      </rPr>
      <t xml:space="preserve">若实施将与 </t>
    </r>
    <r>
      <rPr>
        <sz val="10"/>
        <rFont val="Arial"/>
        <family val="0"/>
        <charset val="1"/>
      </rPr>
      <t xml:space="preserve">para 87</t>
    </r>
    <r>
      <rPr>
        <sz val="10"/>
        <rFont val="Noto Sans CJK SC"/>
        <family val="2"/>
      </rPr>
      <t xml:space="preserve">、</t>
    </r>
    <r>
      <rPr>
        <sz val="10"/>
        <rFont val="Arial"/>
        <family val="0"/>
        <charset val="1"/>
      </rPr>
      <t xml:space="preserve">para 26</t>
    </r>
    <r>
      <rPr>
        <sz val="10"/>
        <rFont val="Noto Sans CJK SC"/>
        <family val="2"/>
      </rPr>
      <t xml:space="preserve">、</t>
    </r>
    <r>
      <rPr>
        <sz val="10"/>
        <rFont val="Arial"/>
        <family val="0"/>
        <charset val="1"/>
      </rPr>
      <t xml:space="preserve">SSCM </t>
    </r>
    <r>
      <rPr>
        <sz val="10"/>
        <rFont val="Noto Sans CJK SC"/>
        <family val="2"/>
      </rPr>
      <t xml:space="preserve">中使用 </t>
    </r>
    <r>
      <rPr>
        <sz val="10"/>
        <rFont val="Arial"/>
        <family val="0"/>
        <charset val="1"/>
      </rPr>
      <t xml:space="preserve">CR ≤3 </t>
    </r>
    <r>
      <rPr>
        <sz val="10"/>
        <rFont val="Noto Sans CJK SC"/>
        <family val="2"/>
      </rPr>
      <t xml:space="preserve">门槛的条款冲突；需确认已放弃。</t>
    </r>
  </si>
  <si>
    <t xml:space="preserve">待确认</t>
  </si>
  <si>
    <r>
      <rPr>
        <b val="true"/>
        <sz val="13"/>
        <rFont val="Noto Sans CJK SC"/>
        <family val="2"/>
      </rPr>
      <t xml:space="preserve">题 </t>
    </r>
    <r>
      <rPr>
        <b val="true"/>
        <sz val="13"/>
        <rFont val="Arial"/>
        <family val="0"/>
        <charset val="1"/>
      </rPr>
      <t xml:space="preserve">3 — Downstream</t>
    </r>
    <r>
      <rPr>
        <b val="true"/>
        <sz val="13"/>
        <rFont val="Noto Sans CJK SC"/>
        <family val="2"/>
      </rPr>
      <t xml:space="preserve">：依赖 </t>
    </r>
    <r>
      <rPr>
        <b val="true"/>
        <sz val="13"/>
        <rFont val="Arial"/>
        <family val="0"/>
        <charset val="1"/>
      </rPr>
      <t xml:space="preserve">country risk assessment </t>
    </r>
    <r>
      <rPr>
        <b val="true"/>
        <sz val="13"/>
        <rFont val="Noto Sans CJK SC"/>
        <family val="2"/>
      </rPr>
      <t xml:space="preserve">的引用与新 </t>
    </r>
    <r>
      <rPr>
        <b val="true"/>
        <sz val="13"/>
        <rFont val="Arial"/>
        <family val="0"/>
        <charset val="1"/>
      </rPr>
      <t xml:space="preserve">determination </t>
    </r>
    <r>
      <rPr>
        <b val="true"/>
        <sz val="13"/>
        <rFont val="Noto Sans CJK SC"/>
        <family val="2"/>
      </rPr>
      <t xml:space="preserve">下的影响</t>
    </r>
  </si>
  <si>
    <r>
      <rPr>
        <i val="true"/>
        <sz val="9"/>
        <color rgb="FF555555"/>
        <rFont val="Noto Sans CJK SC"/>
        <family val="2"/>
      </rPr>
      <t xml:space="preserve">引用位置按文档分组；</t>
    </r>
    <r>
      <rPr>
        <i val="true"/>
        <sz val="9"/>
        <color rgb="FF555555"/>
        <rFont val="Arial"/>
        <family val="0"/>
        <charset val="1"/>
      </rPr>
      <t xml:space="preserve">"</t>
    </r>
    <r>
      <rPr>
        <i val="true"/>
        <sz val="9"/>
        <color rgb="FF555555"/>
        <rFont val="Noto Sans CJK SC"/>
        <family val="2"/>
      </rPr>
      <t xml:space="preserve">影响</t>
    </r>
    <r>
      <rPr>
        <i val="true"/>
        <sz val="9"/>
        <color rgb="FF555555"/>
        <rFont val="Arial"/>
        <family val="0"/>
        <charset val="1"/>
      </rPr>
      <t xml:space="preserve">" </t>
    </r>
    <r>
      <rPr>
        <i val="true"/>
        <sz val="9"/>
        <color rgb="FF555555"/>
        <rFont val="Noto Sans CJK SC"/>
        <family val="2"/>
      </rPr>
      <t xml:space="preserve">指 </t>
    </r>
    <r>
      <rPr>
        <i val="true"/>
        <sz val="9"/>
        <color rgb="FF555555"/>
        <rFont val="Arial"/>
        <family val="0"/>
        <charset val="1"/>
      </rPr>
      <t xml:space="preserve">#1 </t>
    </r>
    <r>
      <rPr>
        <i val="true"/>
        <sz val="9"/>
        <color rgb="FF555555"/>
        <rFont val="Noto Sans CJK SC"/>
        <family val="2"/>
      </rPr>
      <t xml:space="preserve">改变 </t>
    </r>
    <r>
      <rPr>
        <i val="true"/>
        <sz val="9"/>
        <color rgb="FF555555"/>
        <rFont val="Arial"/>
        <family val="0"/>
        <charset val="1"/>
      </rPr>
      <t xml:space="preserve">country risk determination </t>
    </r>
    <r>
      <rPr>
        <i val="true"/>
        <sz val="9"/>
        <color rgb="FF555555"/>
        <rFont val="Noto Sans CJK SC"/>
        <family val="2"/>
      </rPr>
      <t xml:space="preserve">后该引用是否仍成立、是否需要联动修订。</t>
    </r>
  </si>
  <si>
    <t xml:space="preserve">文档</t>
  </si>
  <si>
    <t xml:space="preserve">位置</t>
  </si>
  <si>
    <r>
      <rPr>
        <b val="true"/>
        <sz val="10"/>
        <color rgb="FFFFFFFF"/>
        <rFont val="Noto Sans CJK SC"/>
        <family val="2"/>
      </rPr>
      <t xml:space="preserve">措辞 </t>
    </r>
    <r>
      <rPr>
        <b val="true"/>
        <sz val="10"/>
        <color rgb="FFFFFFFF"/>
        <rFont val="Arial"/>
        <family val="0"/>
        <charset val="1"/>
      </rPr>
      <t xml:space="preserve">/ </t>
    </r>
    <r>
      <rPr>
        <b val="true"/>
        <sz val="10"/>
        <color rgb="FFFFFFFF"/>
        <rFont val="Noto Sans CJK SC"/>
        <family val="2"/>
      </rPr>
      <t xml:space="preserve">规则</t>
    </r>
  </si>
  <si>
    <r>
      <rPr>
        <b val="true"/>
        <sz val="10"/>
        <color rgb="FFFFFFFF"/>
        <rFont val="Noto Sans CJK SC"/>
        <family val="2"/>
      </rPr>
      <t xml:space="preserve">依赖 </t>
    </r>
    <r>
      <rPr>
        <b val="true"/>
        <sz val="10"/>
        <color rgb="FFFFFFFF"/>
        <rFont val="Arial"/>
        <family val="0"/>
        <charset val="1"/>
      </rPr>
      <t xml:space="preserve">country risk </t>
    </r>
    <r>
      <rPr>
        <b val="true"/>
        <sz val="10"/>
        <color rgb="FFFFFFFF"/>
        <rFont val="Noto Sans CJK SC"/>
        <family val="2"/>
      </rPr>
      <t xml:space="preserve">的方式</t>
    </r>
  </si>
  <si>
    <r>
      <rPr>
        <b val="true"/>
        <sz val="10"/>
        <color rgb="FFFFFFFF"/>
        <rFont val="Noto Sans CJK SC"/>
        <family val="2"/>
      </rPr>
      <t xml:space="preserve">新 </t>
    </r>
    <r>
      <rPr>
        <b val="true"/>
        <sz val="10"/>
        <color rgb="FFFFFFFF"/>
        <rFont val="Arial"/>
        <family val="0"/>
        <charset val="1"/>
      </rPr>
      <t xml:space="preserve">determination </t>
    </r>
    <r>
      <rPr>
        <b val="true"/>
        <sz val="10"/>
        <color rgb="FFFFFFFF"/>
        <rFont val="Noto Sans CJK SC"/>
        <family val="2"/>
      </rPr>
      <t xml:space="preserve">下的影响</t>
    </r>
  </si>
  <si>
    <r>
      <rPr>
        <b val="true"/>
        <sz val="10"/>
        <color rgb="FFFFFFFF"/>
        <rFont val="Noto Sans CJK SC"/>
        <family val="2"/>
      </rPr>
      <t xml:space="preserve">联动 </t>
    </r>
    <r>
      <rPr>
        <b val="true"/>
        <sz val="10"/>
        <color rgb="FFFFFFFF"/>
        <rFont val="Arial"/>
        <family val="0"/>
        <charset val="1"/>
      </rPr>
      <t xml:space="preserve">change</t>
    </r>
  </si>
  <si>
    <t xml:space="preserve">Corporate Methodology</t>
  </si>
  <si>
    <r>
      <rPr>
        <sz val="10"/>
        <rFont val="Arial"/>
        <family val="0"/>
        <charset val="1"/>
      </rPr>
      <t xml:space="preserve">CR × IR → CICRA</t>
    </r>
    <r>
      <rPr>
        <sz val="10"/>
        <rFont val="Noto Sans CJK SC"/>
        <family val="2"/>
      </rPr>
      <t xml:space="preserve">；</t>
    </r>
    <r>
      <rPr>
        <sz val="10"/>
        <rFont val="Arial"/>
        <family val="0"/>
        <charset val="1"/>
      </rPr>
      <t xml:space="preserve">CR 1–3 </t>
    </r>
    <r>
      <rPr>
        <sz val="10"/>
        <rFont val="Noto Sans CJK SC"/>
        <family val="2"/>
      </rPr>
      <t xml:space="preserve">对所有 </t>
    </r>
    <r>
      <rPr>
        <sz val="10"/>
        <rFont val="Arial"/>
        <family val="0"/>
        <charset val="1"/>
      </rPr>
      <t xml:space="preserve">IR </t>
    </r>
    <r>
      <rPr>
        <sz val="10"/>
        <rFont val="Noto Sans CJK SC"/>
        <family val="2"/>
      </rPr>
      <t xml:space="preserve">中性；</t>
    </r>
    <r>
      <rPr>
        <sz val="10"/>
        <rFont val="Arial"/>
        <family val="0"/>
        <charset val="1"/>
      </rPr>
      <t xml:space="preserve">CR 4–6 </t>
    </r>
    <r>
      <rPr>
        <sz val="10"/>
        <rFont val="Noto Sans CJK SC"/>
        <family val="2"/>
      </rPr>
      <t xml:space="preserve">抬高 </t>
    </r>
    <r>
      <rPr>
        <sz val="10"/>
        <rFont val="Arial"/>
        <family val="0"/>
        <charset val="1"/>
      </rPr>
      <t xml:space="preserve">CICRA</t>
    </r>
    <r>
      <rPr>
        <sz val="10"/>
        <rFont val="Noto Sans CJK SC"/>
        <family val="2"/>
      </rPr>
      <t xml:space="preserve">。</t>
    </r>
  </si>
  <si>
    <t xml:space="preserve">直接输入</t>
  </si>
  <si>
    <r>
      <rPr>
        <sz val="10"/>
        <rFont val="Arial"/>
        <family val="0"/>
        <charset val="1"/>
      </rPr>
      <t xml:space="preserve">CR </t>
    </r>
    <r>
      <rPr>
        <sz val="10"/>
        <rFont val="Noto Sans CJK SC"/>
        <family val="2"/>
      </rPr>
      <t xml:space="preserve">分布变化经 </t>
    </r>
    <r>
      <rPr>
        <sz val="10"/>
        <rFont val="Arial"/>
        <family val="0"/>
        <charset val="1"/>
      </rPr>
      <t xml:space="preserve">Table 1 </t>
    </r>
    <r>
      <rPr>
        <sz val="10"/>
        <rFont val="Noto Sans CJK SC"/>
        <family val="2"/>
      </rPr>
      <t xml:space="preserve">传导；</t>
    </r>
    <r>
      <rPr>
        <sz val="10"/>
        <rFont val="Arial"/>
        <family val="0"/>
        <charset val="1"/>
      </rPr>
      <t xml:space="preserve">CR 4→5</t>
    </r>
    <r>
      <rPr>
        <sz val="10"/>
        <rFont val="Noto Sans CJK SC"/>
        <family val="2"/>
      </rPr>
      <t xml:space="preserve">（</t>
    </r>
    <r>
      <rPr>
        <sz val="10"/>
        <rFont val="Arial"/>
        <family val="0"/>
        <charset val="1"/>
      </rPr>
      <t xml:space="preserve">IR 1</t>
    </r>
    <r>
      <rPr>
        <sz val="10"/>
        <rFont val="Noto Sans CJK SC"/>
        <family val="2"/>
      </rPr>
      <t xml:space="preserve">）与 </t>
    </r>
    <r>
      <rPr>
        <sz val="10"/>
        <rFont val="Arial"/>
        <family val="0"/>
        <charset val="1"/>
      </rPr>
      <t xml:space="preserve">CR 5→6</t>
    </r>
    <r>
      <rPr>
        <sz val="10"/>
        <rFont val="Noto Sans CJK SC"/>
        <family val="2"/>
      </rPr>
      <t xml:space="preserve">（</t>
    </r>
    <r>
      <rPr>
        <sz val="10"/>
        <rFont val="Arial"/>
        <family val="0"/>
        <charset val="1"/>
      </rPr>
      <t xml:space="preserve">IR 3</t>
    </r>
    <r>
      <rPr>
        <sz val="10"/>
        <rFont val="Noto Sans CJK SC"/>
        <family val="2"/>
      </rPr>
      <t xml:space="preserve">）各跳 </t>
    </r>
    <r>
      <rPr>
        <sz val="10"/>
        <rFont val="Arial"/>
        <family val="0"/>
        <charset val="1"/>
      </rPr>
      <t xml:space="preserve">2 </t>
    </r>
    <r>
      <rPr>
        <sz val="10"/>
        <rFont val="Noto Sans CJK SC"/>
        <family val="2"/>
      </rPr>
      <t xml:space="preserve">级。</t>
    </r>
  </si>
  <si>
    <r>
      <rPr>
        <sz val="10"/>
        <rFont val="Arial"/>
        <family val="0"/>
        <charset val="1"/>
      </rPr>
      <t xml:space="preserve">Impact testing </t>
    </r>
    <r>
      <rPr>
        <sz val="10"/>
        <rFont val="Noto Sans CJK SC"/>
        <family val="2"/>
      </rPr>
      <t xml:space="preserve">需单独统计 </t>
    </r>
    <r>
      <rPr>
        <sz val="10"/>
        <rFont val="Arial"/>
        <family val="0"/>
        <charset val="1"/>
      </rPr>
      <t xml:space="preserve">CICRA </t>
    </r>
    <r>
      <rPr>
        <sz val="10"/>
        <rFont val="Noto Sans CJK SC"/>
        <family val="2"/>
      </rPr>
      <t xml:space="preserve">变动数，而非只看 </t>
    </r>
    <r>
      <rPr>
        <sz val="10"/>
        <rFont val="Arial"/>
        <family val="0"/>
        <charset val="1"/>
      </rPr>
      <t xml:space="preserve">rating</t>
    </r>
    <r>
      <rPr>
        <sz val="10"/>
        <rFont val="Noto Sans CJK SC"/>
        <family val="2"/>
      </rPr>
      <t xml:space="preserve">。</t>
    </r>
  </si>
  <si>
    <r>
      <rPr>
        <sz val="10"/>
        <rFont val="Arial"/>
        <family val="0"/>
        <charset val="1"/>
      </rPr>
      <t xml:space="preserve">#7</t>
    </r>
    <r>
      <rPr>
        <sz val="10"/>
        <rFont val="Noto Sans CJK SC"/>
        <family val="2"/>
      </rPr>
      <t xml:space="preserve">（若 </t>
    </r>
    <r>
      <rPr>
        <sz val="10"/>
        <rFont val="Arial"/>
        <family val="0"/>
        <charset val="1"/>
      </rPr>
      <t xml:space="preserve">Table 1 </t>
    </r>
    <r>
      <rPr>
        <sz val="10"/>
        <rFont val="Noto Sans CJK SC"/>
        <family val="2"/>
      </rPr>
      <t xml:space="preserve">重做）</t>
    </r>
  </si>
  <si>
    <t xml:space="preserve">para 25 / Table 2</t>
  </si>
  <si>
    <r>
      <rPr>
        <sz val="10"/>
        <rFont val="Arial"/>
        <family val="0"/>
        <charset val="1"/>
      </rPr>
      <t xml:space="preserve">CICRA × CP → BRP</t>
    </r>
    <r>
      <rPr>
        <sz val="10"/>
        <rFont val="Noto Sans CJK SC"/>
        <family val="2"/>
      </rPr>
      <t xml:space="preserve">。</t>
    </r>
  </si>
  <si>
    <r>
      <rPr>
        <sz val="10"/>
        <rFont val="Noto Sans CJK SC"/>
        <family val="2"/>
      </rPr>
      <t xml:space="preserve">间接（经 </t>
    </r>
    <r>
      <rPr>
        <sz val="10"/>
        <rFont val="Arial"/>
        <family val="0"/>
        <charset val="1"/>
      </rPr>
      <t xml:space="preserve">CICRA</t>
    </r>
    <r>
      <rPr>
        <sz val="10"/>
        <rFont val="Noto Sans CJK SC"/>
        <family val="2"/>
      </rPr>
      <t xml:space="preserve">）</t>
    </r>
  </si>
  <si>
    <r>
      <rPr>
        <sz val="10"/>
        <rFont val="Arial"/>
        <family val="0"/>
        <charset val="1"/>
      </rPr>
      <t xml:space="preserve">CICRA 4→6 </t>
    </r>
    <r>
      <rPr>
        <sz val="10"/>
        <rFont val="Noto Sans CJK SC"/>
        <family val="2"/>
      </rPr>
      <t xml:space="preserve">在 </t>
    </r>
    <r>
      <rPr>
        <sz val="10"/>
        <rFont val="Arial"/>
        <family val="0"/>
        <charset val="1"/>
      </rPr>
      <t xml:space="preserve">CP 3 </t>
    </r>
    <r>
      <rPr>
        <sz val="10"/>
        <rFont val="Noto Sans CJK SC"/>
        <family val="2"/>
      </rPr>
      <t xml:space="preserve">下 </t>
    </r>
    <r>
      <rPr>
        <sz val="10"/>
        <rFont val="Arial"/>
        <family val="0"/>
        <charset val="1"/>
      </rPr>
      <t xml:space="preserve">BRP 3→6</t>
    </r>
    <r>
      <rPr>
        <sz val="10"/>
        <rFont val="Noto Sans CJK SC"/>
        <family val="2"/>
      </rPr>
      <t xml:space="preserve">。</t>
    </r>
  </si>
  <si>
    <r>
      <rPr>
        <sz val="10"/>
        <rFont val="Noto Sans CJK SC"/>
        <family val="2"/>
      </rPr>
      <t xml:space="preserve">见 </t>
    </r>
    <r>
      <rPr>
        <sz val="10"/>
        <rFont val="Arial"/>
        <family val="0"/>
        <charset val="1"/>
      </rPr>
      <t xml:space="preserve">7_Sensitivity</t>
    </r>
    <r>
      <rPr>
        <sz val="10"/>
        <rFont val="Noto Sans CJK SC"/>
        <family val="2"/>
      </rPr>
      <t xml:space="preserve">。</t>
    </r>
  </si>
  <si>
    <t xml:space="preserve">#7</t>
  </si>
  <si>
    <t xml:space="preserve">para 26</t>
  </si>
  <si>
    <r>
      <rPr>
        <sz val="10"/>
        <rFont val="Arial"/>
        <family val="0"/>
        <charset val="1"/>
      </rPr>
      <t xml:space="preserve">CICRA 5 </t>
    </r>
    <r>
      <rPr>
        <sz val="10"/>
        <rFont val="Noto Sans CJK SC"/>
        <family val="2"/>
      </rPr>
      <t xml:space="preserve">且 </t>
    </r>
    <r>
      <rPr>
        <sz val="10"/>
        <rFont val="Arial"/>
        <family val="0"/>
        <charset val="1"/>
      </rPr>
      <t xml:space="preserve">CR ≤3 </t>
    </r>
    <r>
      <rPr>
        <sz val="10"/>
        <rFont val="Noto Sans CJK SC"/>
        <family val="2"/>
      </rPr>
      <t xml:space="preserve">等条件 → </t>
    </r>
    <r>
      <rPr>
        <sz val="10"/>
        <rFont val="Arial"/>
        <family val="0"/>
        <charset val="1"/>
      </rPr>
      <t xml:space="preserve">BRP 2</t>
    </r>
    <r>
      <rPr>
        <sz val="10"/>
        <rFont val="Noto Sans CJK SC"/>
        <family val="2"/>
      </rPr>
      <t xml:space="preserve">。</t>
    </r>
  </si>
  <si>
    <r>
      <rPr>
        <sz val="10"/>
        <rFont val="Noto Sans CJK SC"/>
        <family val="2"/>
      </rPr>
      <t xml:space="preserve">直接（</t>
    </r>
    <r>
      <rPr>
        <sz val="10"/>
        <rFont val="Arial"/>
        <family val="0"/>
        <charset val="1"/>
      </rPr>
      <t xml:space="preserve">CR ≤3 </t>
    </r>
    <r>
      <rPr>
        <sz val="10"/>
        <rFont val="Noto Sans CJK SC"/>
        <family val="2"/>
      </rPr>
      <t xml:space="preserve">是条件之一）</t>
    </r>
  </si>
  <si>
    <r>
      <rPr>
        <sz val="10"/>
        <rFont val="Noto Sans CJK SC"/>
        <family val="2"/>
      </rPr>
      <t xml:space="preserve">若 </t>
    </r>
    <r>
      <rPr>
        <sz val="10"/>
        <rFont val="Arial"/>
        <family val="0"/>
        <charset val="1"/>
      </rPr>
      <t xml:space="preserve">1d </t>
    </r>
    <r>
      <rPr>
        <sz val="10"/>
        <rFont val="Noto Sans CJK SC"/>
        <family val="2"/>
      </rPr>
      <t xml:space="preserve">删除则引用消失。</t>
    </r>
  </si>
  <si>
    <r>
      <rPr>
        <sz val="10"/>
        <rFont val="Arial"/>
        <family val="0"/>
        <charset val="1"/>
      </rPr>
      <t xml:space="preserve">Parked</t>
    </r>
    <r>
      <rPr>
        <sz val="10"/>
        <rFont val="Noto Sans CJK SC"/>
        <family val="2"/>
      </rPr>
      <t xml:space="preserve">。</t>
    </r>
  </si>
  <si>
    <t xml:space="preserve">1d</t>
  </si>
  <si>
    <t xml:space="preserve">para 30 / Table 3</t>
  </si>
  <si>
    <r>
      <rPr>
        <sz val="10"/>
        <rFont val="Arial"/>
        <family val="0"/>
        <charset val="1"/>
      </rPr>
      <t xml:space="preserve">BRP × FRP → anchor</t>
    </r>
    <r>
      <rPr>
        <sz val="10"/>
        <rFont val="Noto Sans CJK SC"/>
        <family val="2"/>
      </rPr>
      <t xml:space="preserve">。</t>
    </r>
  </si>
  <si>
    <r>
      <rPr>
        <sz val="10"/>
        <rFont val="Noto Sans CJK SC"/>
        <family val="2"/>
      </rPr>
      <t xml:space="preserve">间接（经 </t>
    </r>
    <r>
      <rPr>
        <sz val="10"/>
        <rFont val="Arial"/>
        <family val="0"/>
        <charset val="1"/>
      </rPr>
      <t xml:space="preserve">BRP</t>
    </r>
    <r>
      <rPr>
        <sz val="10"/>
        <rFont val="Noto Sans CJK SC"/>
        <family val="2"/>
      </rPr>
      <t xml:space="preserve">）</t>
    </r>
  </si>
  <si>
    <r>
      <rPr>
        <sz val="10"/>
        <rFont val="Arial"/>
        <family val="0"/>
        <charset val="1"/>
      </rPr>
      <t xml:space="preserve">BRP </t>
    </r>
    <r>
      <rPr>
        <sz val="10"/>
        <rFont val="Noto Sans CJK SC"/>
        <family val="2"/>
      </rPr>
      <t xml:space="preserve">变动 </t>
    </r>
    <r>
      <rPr>
        <sz val="10"/>
        <rFont val="Arial"/>
        <family val="0"/>
        <charset val="1"/>
      </rPr>
      <t xml:space="preserve">1 </t>
    </r>
    <r>
      <rPr>
        <sz val="10"/>
        <rFont val="Noto Sans CJK SC"/>
        <family val="2"/>
      </rPr>
      <t xml:space="preserve">级 → </t>
    </r>
    <r>
      <rPr>
        <sz val="10"/>
        <rFont val="Arial"/>
        <family val="0"/>
        <charset val="1"/>
      </rPr>
      <t xml:space="preserve">anchor </t>
    </r>
    <r>
      <rPr>
        <sz val="10"/>
        <rFont val="Noto Sans CJK SC"/>
        <family val="2"/>
      </rPr>
      <t xml:space="preserve">变动 </t>
    </r>
    <r>
      <rPr>
        <sz val="10"/>
        <rFont val="Arial"/>
        <family val="0"/>
        <charset val="1"/>
      </rPr>
      <t xml:space="preserve">1–3 notch</t>
    </r>
    <r>
      <rPr>
        <sz val="10"/>
        <rFont val="Noto Sans CJK SC"/>
        <family val="2"/>
      </rPr>
      <t xml:space="preserve">；极端链条可达 </t>
    </r>
    <r>
      <rPr>
        <sz val="10"/>
        <rFont val="Arial"/>
        <family val="0"/>
        <charset val="1"/>
      </rPr>
      <t xml:space="preserve">8 notch</t>
    </r>
    <r>
      <rPr>
        <sz val="10"/>
        <rFont val="Noto Sans CJK SC"/>
        <family val="2"/>
      </rPr>
      <t xml:space="preserve">。</t>
    </r>
  </si>
  <si>
    <r>
      <rPr>
        <sz val="10"/>
        <rFont val="Arial"/>
        <family val="0"/>
        <charset val="1"/>
      </rPr>
      <t xml:space="preserve">#7</t>
    </r>
    <r>
      <rPr>
        <sz val="10"/>
        <rFont val="Noto Sans CJK SC"/>
        <family val="2"/>
      </rPr>
      <t xml:space="preserve">（</t>
    </r>
    <r>
      <rPr>
        <sz val="10"/>
        <rFont val="Arial"/>
        <family val="0"/>
        <charset val="1"/>
      </rPr>
      <t xml:space="preserve">split anchors</t>
    </r>
    <r>
      <rPr>
        <sz val="10"/>
        <rFont val="Noto Sans CJK SC"/>
        <family val="2"/>
      </rPr>
      <t xml:space="preserve">）</t>
    </r>
  </si>
  <si>
    <r>
      <rPr>
        <sz val="10"/>
        <rFont val="Arial"/>
        <family val="0"/>
        <charset val="1"/>
      </rPr>
      <t xml:space="preserve">para 87</t>
    </r>
    <r>
      <rPr>
        <sz val="10"/>
        <rFont val="Noto Sans CJK SC"/>
        <family val="2"/>
      </rPr>
      <t xml:space="preserve">（</t>
    </r>
    <r>
      <rPr>
        <sz val="10"/>
        <rFont val="Arial"/>
        <family val="0"/>
        <charset val="1"/>
      </rPr>
      <t xml:space="preserve">SER volatility adjustment</t>
    </r>
    <r>
      <rPr>
        <sz val="10"/>
        <rFont val="Noto Sans CJK SC"/>
        <family val="2"/>
      </rPr>
      <t xml:space="preserve">）</t>
    </r>
  </si>
  <si>
    <r>
      <rPr>
        <sz val="10"/>
        <rFont val="Arial"/>
        <family val="0"/>
        <charset val="1"/>
      </rPr>
      <t xml:space="preserve">"Has a weighted country risk assessment of 4 or worse" </t>
    </r>
    <r>
      <rPr>
        <sz val="10"/>
        <rFont val="Noto Sans CJK SC"/>
        <family val="2"/>
      </rPr>
      <t xml:space="preserve">是 </t>
    </r>
    <r>
      <rPr>
        <sz val="10"/>
        <rFont val="Arial"/>
        <family val="0"/>
        <charset val="1"/>
      </rPr>
      <t xml:space="preserve">SER-derived volatility </t>
    </r>
    <r>
      <rPr>
        <sz val="10"/>
        <rFont val="Noto Sans CJK SC"/>
        <family val="2"/>
      </rPr>
      <t xml:space="preserve">可 </t>
    </r>
    <r>
      <rPr>
        <sz val="10"/>
        <rFont val="Arial"/>
        <family val="0"/>
        <charset val="1"/>
      </rPr>
      <t xml:space="preserve">worsen </t>
    </r>
    <r>
      <rPr>
        <sz val="10"/>
        <rFont val="Noto Sans CJK SC"/>
        <family val="2"/>
      </rPr>
      <t xml:space="preserve">最多 </t>
    </r>
    <r>
      <rPr>
        <sz val="10"/>
        <rFont val="Arial"/>
        <family val="0"/>
        <charset val="1"/>
      </rPr>
      <t xml:space="preserve">2 </t>
    </r>
    <r>
      <rPr>
        <sz val="10"/>
        <rFont val="Noto Sans CJK SC"/>
        <family val="2"/>
      </rPr>
      <t xml:space="preserve">级的条件之一。</t>
    </r>
  </si>
  <si>
    <r>
      <rPr>
        <sz val="10"/>
        <rFont val="Noto Sans CJK SC"/>
        <family val="2"/>
      </rPr>
      <t xml:space="preserve">直接（用 </t>
    </r>
    <r>
      <rPr>
        <sz val="10"/>
        <rFont val="Arial"/>
        <family val="0"/>
        <charset val="1"/>
      </rPr>
      <t xml:space="preserve">"weighted" CR </t>
    </r>
    <r>
      <rPr>
        <sz val="10"/>
        <rFont val="Noto Sans CJK SC"/>
        <family val="2"/>
      </rPr>
      <t xml:space="preserve">的数值）</t>
    </r>
  </si>
  <si>
    <r>
      <rPr>
        <sz val="10"/>
        <rFont val="Noto Sans CJK SC"/>
        <family val="2"/>
      </rPr>
      <t xml:space="preserve">若最终 </t>
    </r>
    <r>
      <rPr>
        <sz val="10"/>
        <rFont val="Arial"/>
        <family val="0"/>
        <charset val="1"/>
      </rPr>
      <t xml:space="preserve">CR </t>
    </r>
    <r>
      <rPr>
        <sz val="10"/>
        <rFont val="Noto Sans CJK SC"/>
        <family val="2"/>
      </rPr>
      <t xml:space="preserve">经 </t>
    </r>
    <r>
      <rPr>
        <sz val="10"/>
        <rFont val="Arial"/>
        <family val="0"/>
        <charset val="1"/>
      </rPr>
      <t xml:space="preserve">weak-link </t>
    </r>
    <r>
      <rPr>
        <sz val="10"/>
        <rFont val="Noto Sans CJK SC"/>
        <family val="2"/>
      </rPr>
      <t xml:space="preserve">或 −</t>
    </r>
    <r>
      <rPr>
        <sz val="10"/>
        <rFont val="Arial"/>
        <family val="0"/>
        <charset val="1"/>
      </rPr>
      <t xml:space="preserve">1 notching </t>
    </r>
    <r>
      <rPr>
        <sz val="10"/>
        <rFont val="Noto Sans CJK SC"/>
        <family val="2"/>
      </rPr>
      <t xml:space="preserve">得出，</t>
    </r>
    <r>
      <rPr>
        <sz val="10"/>
        <rFont val="Arial"/>
        <family val="0"/>
        <charset val="1"/>
      </rPr>
      <t xml:space="preserve">"weighted country risk assessment" </t>
    </r>
    <r>
      <rPr>
        <sz val="10"/>
        <rFont val="Noto Sans CJK SC"/>
        <family val="2"/>
      </rPr>
      <t xml:space="preserve">指哪个数值不明确。</t>
    </r>
  </si>
  <si>
    <r>
      <rPr>
        <sz val="10"/>
        <rFont val="Arial"/>
        <family val="0"/>
        <charset val="1"/>
      </rPr>
      <t xml:space="preserve">#2 </t>
    </r>
    <r>
      <rPr>
        <sz val="10"/>
        <rFont val="Noto Sans CJK SC"/>
        <family val="2"/>
      </rPr>
      <t xml:space="preserve">取消 </t>
    </r>
    <r>
      <rPr>
        <sz val="10"/>
        <rFont val="Arial"/>
        <family val="0"/>
        <charset val="1"/>
      </rPr>
      <t xml:space="preserve">SER tables </t>
    </r>
    <r>
      <rPr>
        <sz val="10"/>
        <rFont val="Noto Sans CJK SC"/>
        <family val="2"/>
      </rPr>
      <t xml:space="preserve">后 </t>
    </r>
    <r>
      <rPr>
        <sz val="10"/>
        <rFont val="Arial"/>
        <family val="0"/>
        <charset val="1"/>
      </rPr>
      <t xml:space="preserve">para 87 </t>
    </r>
    <r>
      <rPr>
        <sz val="10"/>
        <rFont val="Noto Sans CJK SC"/>
        <family val="2"/>
      </rPr>
      <t xml:space="preserve">可能整体消失；需与 </t>
    </r>
    <r>
      <rPr>
        <sz val="10"/>
        <rFont val="Arial"/>
        <family val="0"/>
        <charset val="1"/>
      </rPr>
      <t xml:space="preserve">#2 owner </t>
    </r>
    <r>
      <rPr>
        <sz val="10"/>
        <rFont val="Noto Sans CJK SC"/>
        <family val="2"/>
      </rPr>
      <t xml:space="preserve">联动。</t>
    </r>
  </si>
  <si>
    <t xml:space="preserve">#2</t>
  </si>
  <si>
    <t xml:space="preserve">para 123</t>
  </si>
  <si>
    <r>
      <rPr>
        <sz val="10"/>
        <rFont val="Arial"/>
        <family val="0"/>
        <charset val="1"/>
      </rPr>
      <t xml:space="preserve">Low / medial / standard volatility table </t>
    </r>
    <r>
      <rPr>
        <sz val="10"/>
        <rFont val="Noto Sans CJK SC"/>
        <family val="2"/>
      </rPr>
      <t xml:space="preserve">按 </t>
    </r>
    <r>
      <rPr>
        <sz val="10"/>
        <rFont val="Arial"/>
        <family val="0"/>
        <charset val="1"/>
      </rPr>
      <t xml:space="preserve">CICRA </t>
    </r>
    <r>
      <rPr>
        <sz val="10"/>
        <rFont val="Noto Sans CJK SC"/>
        <family val="2"/>
      </rPr>
      <t xml:space="preserve">选（</t>
    </r>
    <r>
      <rPr>
        <sz val="10"/>
        <rFont val="Arial"/>
        <family val="0"/>
        <charset val="1"/>
      </rPr>
      <t xml:space="preserve">CICRA 1 → low</t>
    </r>
    <r>
      <rPr>
        <sz val="10"/>
        <rFont val="Noto Sans CJK SC"/>
        <family val="2"/>
      </rPr>
      <t xml:space="preserve">；</t>
    </r>
    <r>
      <rPr>
        <sz val="10"/>
        <rFont val="Arial"/>
        <family val="0"/>
        <charset val="1"/>
      </rPr>
      <t xml:space="preserve">2 → medial</t>
    </r>
    <r>
      <rPr>
        <sz val="10"/>
        <rFont val="Noto Sans CJK SC"/>
        <family val="2"/>
      </rPr>
      <t xml:space="preserve">；其余 </t>
    </r>
    <r>
      <rPr>
        <sz val="10"/>
        <rFont val="Arial"/>
        <family val="0"/>
        <charset val="1"/>
      </rPr>
      <t xml:space="preserve">standard</t>
    </r>
    <r>
      <rPr>
        <sz val="10"/>
        <rFont val="Noto Sans CJK SC"/>
        <family val="2"/>
      </rPr>
      <t xml:space="preserve">）。</t>
    </r>
  </si>
  <si>
    <r>
      <rPr>
        <sz val="10"/>
        <rFont val="Arial"/>
        <family val="0"/>
        <charset val="1"/>
      </rPr>
      <t xml:space="preserve">CR </t>
    </r>
    <r>
      <rPr>
        <sz val="10"/>
        <rFont val="Noto Sans CJK SC"/>
        <family val="2"/>
      </rPr>
      <t xml:space="preserve">变动只在 </t>
    </r>
    <r>
      <rPr>
        <sz val="10"/>
        <rFont val="Arial"/>
        <family val="0"/>
        <charset val="1"/>
      </rPr>
      <t xml:space="preserve">CICRA </t>
    </r>
    <r>
      <rPr>
        <sz val="10"/>
        <rFont val="Noto Sans CJK SC"/>
        <family val="2"/>
      </rPr>
      <t xml:space="preserve">跨 </t>
    </r>
    <r>
      <rPr>
        <sz val="10"/>
        <rFont val="Arial"/>
        <family val="0"/>
        <charset val="1"/>
      </rPr>
      <t xml:space="preserve">1/2/3 </t>
    </r>
    <r>
      <rPr>
        <sz val="10"/>
        <rFont val="Noto Sans CJK SC"/>
        <family val="2"/>
      </rPr>
      <t xml:space="preserve">边界时影响 </t>
    </r>
    <r>
      <rPr>
        <sz val="10"/>
        <rFont val="Arial"/>
        <family val="0"/>
        <charset val="1"/>
      </rPr>
      <t xml:space="preserve">table </t>
    </r>
    <r>
      <rPr>
        <sz val="10"/>
        <rFont val="Noto Sans CJK SC"/>
        <family val="2"/>
      </rPr>
      <t xml:space="preserve">选择；</t>
    </r>
    <r>
      <rPr>
        <sz val="10"/>
        <rFont val="Arial"/>
        <family val="0"/>
        <charset val="1"/>
      </rPr>
      <t xml:space="preserve">CR 1–3 </t>
    </r>
    <r>
      <rPr>
        <sz val="10"/>
        <rFont val="Noto Sans CJK SC"/>
        <family val="2"/>
      </rPr>
      <t xml:space="preserve">中性，故仅 </t>
    </r>
    <r>
      <rPr>
        <sz val="10"/>
        <rFont val="Arial"/>
        <family val="0"/>
        <charset val="1"/>
      </rPr>
      <t xml:space="preserve">CR 4+ </t>
    </r>
    <r>
      <rPr>
        <sz val="10"/>
        <rFont val="Noto Sans CJK SC"/>
        <family val="2"/>
      </rPr>
      <t xml:space="preserve">的 </t>
    </r>
    <r>
      <rPr>
        <sz val="10"/>
        <rFont val="Arial"/>
        <family val="0"/>
        <charset val="1"/>
      </rPr>
      <t xml:space="preserve">entity </t>
    </r>
    <r>
      <rPr>
        <sz val="10"/>
        <rFont val="Noto Sans CJK SC"/>
        <family val="2"/>
      </rPr>
      <t xml:space="preserve">受影响，而这些 </t>
    </r>
    <r>
      <rPr>
        <sz val="10"/>
        <rFont val="Arial"/>
        <family val="0"/>
        <charset val="1"/>
      </rPr>
      <t xml:space="preserve">entity </t>
    </r>
    <r>
      <rPr>
        <sz val="10"/>
        <rFont val="Noto Sans CJK SC"/>
        <family val="2"/>
      </rPr>
      <t xml:space="preserve">的 </t>
    </r>
    <r>
      <rPr>
        <sz val="10"/>
        <rFont val="Arial"/>
        <family val="0"/>
        <charset val="1"/>
      </rPr>
      <t xml:space="preserve">CICRA </t>
    </r>
    <r>
      <rPr>
        <sz val="10"/>
        <rFont val="Noto Sans CJK SC"/>
        <family val="2"/>
      </rPr>
      <t xml:space="preserve">已 ≥</t>
    </r>
    <r>
      <rPr>
        <sz val="10"/>
        <rFont val="Arial"/>
        <family val="0"/>
        <charset val="1"/>
      </rPr>
      <t xml:space="preserve">2</t>
    </r>
    <r>
      <rPr>
        <sz val="10"/>
        <rFont val="Noto Sans CJK SC"/>
        <family val="2"/>
      </rPr>
      <t xml:space="preserve">。</t>
    </r>
  </si>
  <si>
    <r>
      <rPr>
        <sz val="10"/>
        <rFont val="Noto Sans CJK SC"/>
        <family val="2"/>
      </rPr>
      <t xml:space="preserve">影响范围小；但 </t>
    </r>
    <r>
      <rPr>
        <sz val="10"/>
        <rFont val="Arial"/>
        <family val="0"/>
        <charset val="1"/>
      </rPr>
      <t xml:space="preserve">impact testing </t>
    </r>
    <r>
      <rPr>
        <sz val="10"/>
        <rFont val="Noto Sans CJK SC"/>
        <family val="2"/>
      </rPr>
      <t xml:space="preserve">应统计 </t>
    </r>
    <r>
      <rPr>
        <sz val="10"/>
        <rFont val="Arial"/>
        <family val="0"/>
        <charset val="1"/>
      </rPr>
      <t xml:space="preserve">volatility table </t>
    </r>
    <r>
      <rPr>
        <sz val="10"/>
        <rFont val="Noto Sans CJK SC"/>
        <family val="2"/>
      </rPr>
      <t xml:space="preserve">变动数。</t>
    </r>
  </si>
  <si>
    <t xml:space="preserve">#5</t>
  </si>
  <si>
    <r>
      <rPr>
        <sz val="10"/>
        <rFont val="Arial"/>
        <family val="0"/>
        <charset val="1"/>
      </rPr>
      <t xml:space="preserve">para 134</t>
    </r>
    <r>
      <rPr>
        <sz val="10"/>
        <rFont val="Noto Sans CJK SC"/>
        <family val="2"/>
      </rPr>
      <t xml:space="preserve">（</t>
    </r>
    <r>
      <rPr>
        <sz val="10"/>
        <rFont val="Arial"/>
        <family val="0"/>
        <charset val="1"/>
      </rPr>
      <t xml:space="preserve">Diversification modifier</t>
    </r>
    <r>
      <rPr>
        <sz val="10"/>
        <rFont val="Noto Sans CJK SC"/>
        <family val="2"/>
      </rPr>
      <t xml:space="preserve">）</t>
    </r>
  </si>
  <si>
    <r>
      <rPr>
        <sz val="10"/>
        <rFont val="Arial"/>
        <family val="0"/>
        <charset val="1"/>
      </rPr>
      <t xml:space="preserve">Business line </t>
    </r>
    <r>
      <rPr>
        <sz val="10"/>
        <rFont val="Noto Sans CJK SC"/>
        <family val="2"/>
      </rPr>
      <t xml:space="preserve">的 </t>
    </r>
    <r>
      <rPr>
        <sz val="10"/>
        <rFont val="Arial"/>
        <family val="0"/>
        <charset val="1"/>
      </rPr>
      <t xml:space="preserve">correlation </t>
    </r>
    <r>
      <rPr>
        <sz val="10"/>
        <rFont val="Noto Sans CJK SC"/>
        <family val="2"/>
      </rPr>
      <t xml:space="preserve">用 </t>
    </r>
    <r>
      <rPr>
        <sz val="10"/>
        <rFont val="Arial"/>
        <family val="0"/>
        <charset val="1"/>
      </rPr>
      <t xml:space="preserve">Appendix A Table 26 </t>
    </r>
    <r>
      <rPr>
        <sz val="10"/>
        <rFont val="Noto Sans CJK SC"/>
        <family val="2"/>
      </rPr>
      <t xml:space="preserve">的 </t>
    </r>
    <r>
      <rPr>
        <sz val="10"/>
        <rFont val="Arial"/>
        <family val="0"/>
        <charset val="1"/>
      </rPr>
      <t xml:space="preserve">region </t>
    </r>
    <r>
      <rPr>
        <sz val="10"/>
        <rFont val="Noto Sans CJK SC"/>
        <family val="2"/>
      </rPr>
      <t xml:space="preserve">定义。</t>
    </r>
  </si>
  <si>
    <r>
      <rPr>
        <sz val="10"/>
        <rFont val="Noto Sans CJK SC"/>
        <family val="2"/>
      </rPr>
      <t xml:space="preserve">共用 </t>
    </r>
    <r>
      <rPr>
        <sz val="10"/>
        <rFont val="Arial"/>
        <family val="0"/>
        <charset val="1"/>
      </rPr>
      <t xml:space="preserve">Table 26</t>
    </r>
  </si>
  <si>
    <r>
      <rPr>
        <sz val="10"/>
        <rFont val="Arial"/>
        <family val="0"/>
        <charset val="1"/>
      </rPr>
      <t xml:space="preserve">#8 </t>
    </r>
    <r>
      <rPr>
        <sz val="10"/>
        <rFont val="Noto Sans CJK SC"/>
        <family val="2"/>
      </rPr>
      <t xml:space="preserve">删除该 </t>
    </r>
    <r>
      <rPr>
        <sz val="10"/>
        <rFont val="Arial"/>
        <family val="0"/>
        <charset val="1"/>
      </rPr>
      <t xml:space="preserve">modifier </t>
    </r>
    <r>
      <rPr>
        <sz val="10"/>
        <rFont val="Noto Sans CJK SC"/>
        <family val="2"/>
      </rPr>
      <t xml:space="preserve">后 </t>
    </r>
    <r>
      <rPr>
        <sz val="10"/>
        <rFont val="Arial"/>
        <family val="0"/>
        <charset val="1"/>
      </rPr>
      <t xml:space="preserve">Table 26 </t>
    </r>
    <r>
      <rPr>
        <sz val="10"/>
        <rFont val="Noto Sans CJK SC"/>
        <family val="2"/>
      </rPr>
      <t xml:space="preserve">只剩 </t>
    </r>
    <r>
      <rPr>
        <sz val="10"/>
        <rFont val="Arial"/>
        <family val="0"/>
        <charset val="1"/>
      </rPr>
      <t xml:space="preserve">country risk </t>
    </r>
    <r>
      <rPr>
        <sz val="10"/>
        <rFont val="Noto Sans CJK SC"/>
        <family val="2"/>
      </rPr>
      <t xml:space="preserve">用途。</t>
    </r>
  </si>
  <si>
    <r>
      <rPr>
        <sz val="10"/>
        <rFont val="Noto Sans CJK SC"/>
        <family val="2"/>
      </rPr>
      <t xml:space="preserve">确认 </t>
    </r>
    <r>
      <rPr>
        <sz val="10"/>
        <rFont val="Arial"/>
        <family val="0"/>
        <charset val="1"/>
      </rPr>
      <t xml:space="preserve">Table 26 </t>
    </r>
    <r>
      <rPr>
        <sz val="10"/>
        <rFont val="Noto Sans CJK SC"/>
        <family val="2"/>
      </rPr>
      <t xml:space="preserve">保留。</t>
    </r>
  </si>
  <si>
    <t xml:space="preserve">#8</t>
  </si>
  <si>
    <r>
      <rPr>
        <sz val="10"/>
        <rFont val="Arial"/>
        <family val="0"/>
        <charset val="1"/>
      </rPr>
      <t xml:space="preserve">paras 217–219</t>
    </r>
    <r>
      <rPr>
        <sz val="10"/>
        <rFont val="Noto Sans CJK SC"/>
        <family val="2"/>
      </rPr>
      <t xml:space="preserve">（</t>
    </r>
    <r>
      <rPr>
        <sz val="10"/>
        <rFont val="Arial"/>
        <family val="0"/>
        <charset val="1"/>
      </rPr>
      <t xml:space="preserve">S/S/D geographic diversity</t>
    </r>
    <r>
      <rPr>
        <sz val="10"/>
        <rFont val="Noto Sans CJK SC"/>
        <family val="2"/>
      </rPr>
      <t xml:space="preserve">）</t>
    </r>
  </si>
  <si>
    <r>
      <rPr>
        <sz val="10"/>
        <rFont val="Noto Sans CJK SC"/>
        <family val="2"/>
      </rPr>
      <t xml:space="preserve">从 </t>
    </r>
    <r>
      <rPr>
        <sz val="10"/>
        <rFont val="Arial"/>
        <family val="0"/>
        <charset val="1"/>
      </rPr>
      <t xml:space="preserve">served markets </t>
    </r>
    <r>
      <rPr>
        <sz val="10"/>
        <rFont val="Noto Sans CJK SC"/>
        <family val="2"/>
      </rPr>
      <t xml:space="preserve">的广度与设施的地理集中度评估 </t>
    </r>
    <r>
      <rPr>
        <sz val="10"/>
        <rFont val="Arial"/>
        <family val="0"/>
        <charset val="1"/>
      </rPr>
      <t xml:space="preserve">geographic diversity</t>
    </r>
    <r>
      <rPr>
        <sz val="10"/>
        <rFont val="Noto Sans CJK SC"/>
        <family val="2"/>
      </rPr>
      <t xml:space="preserve">；集中度提高对外生冲击的脆弱性。</t>
    </r>
  </si>
  <si>
    <r>
      <rPr>
        <sz val="10"/>
        <rFont val="Noto Sans CJK SC"/>
        <family val="2"/>
      </rPr>
      <t xml:space="preserve">概念相邻（</t>
    </r>
    <r>
      <rPr>
        <sz val="10"/>
        <rFont val="Arial"/>
        <family val="0"/>
        <charset val="1"/>
      </rPr>
      <t xml:space="preserve">squad </t>
    </r>
    <r>
      <rPr>
        <sz val="10"/>
        <rFont val="Noto Sans CJK SC"/>
        <family val="2"/>
      </rPr>
      <t xml:space="preserve">用以承接被删的 </t>
    </r>
    <r>
      <rPr>
        <sz val="10"/>
        <rFont val="Arial"/>
        <family val="0"/>
        <charset val="1"/>
      </rPr>
      <t xml:space="preserve">diversity adjustment</t>
    </r>
    <r>
      <rPr>
        <sz val="10"/>
        <rFont val="Noto Sans CJK SC"/>
        <family val="2"/>
      </rPr>
      <t xml:space="preserve">）</t>
    </r>
  </si>
  <si>
    <r>
      <rPr>
        <sz val="10"/>
        <rFont val="Arial"/>
        <family val="0"/>
        <charset val="1"/>
      </rPr>
      <t xml:space="preserve">S/S/D </t>
    </r>
    <r>
      <rPr>
        <sz val="10"/>
        <rFont val="Noto Sans CJK SC"/>
        <family val="2"/>
      </rPr>
      <t xml:space="preserve">评估的是地理集中度，不是 </t>
    </r>
    <r>
      <rPr>
        <sz val="10"/>
        <rFont val="Arial"/>
        <family val="0"/>
        <charset val="1"/>
      </rPr>
      <t xml:space="preserve">country risk level </t>
    </r>
    <r>
      <rPr>
        <sz val="10"/>
        <rFont val="Noto Sans CJK SC"/>
        <family val="2"/>
      </rPr>
      <t xml:space="preserve">的分散；承接是否充分需 </t>
    </r>
    <r>
      <rPr>
        <sz val="10"/>
        <rFont val="Arial"/>
        <family val="0"/>
        <charset val="1"/>
      </rPr>
      <t xml:space="preserve">draft </t>
    </r>
    <r>
      <rPr>
        <sz val="10"/>
        <rFont val="Noto Sans CJK SC"/>
        <family val="2"/>
      </rPr>
      <t xml:space="preserve">支持。</t>
    </r>
  </si>
  <si>
    <r>
      <rPr>
        <sz val="10"/>
        <rFont val="Noto Sans CJK SC"/>
        <family val="2"/>
      </rPr>
      <t xml:space="preserve">见 </t>
    </r>
    <r>
      <rPr>
        <sz val="10"/>
        <rFont val="Arial"/>
        <family val="0"/>
        <charset val="1"/>
      </rPr>
      <t xml:space="preserve">2_11_Benchmarks </t>
    </r>
    <r>
      <rPr>
        <sz val="10"/>
        <rFont val="Noto Sans CJK SC"/>
        <family val="2"/>
      </rPr>
      <t xml:space="preserve">与 </t>
    </r>
    <r>
      <rPr>
        <sz val="10"/>
        <rFont val="Arial"/>
        <family val="0"/>
        <charset val="1"/>
      </rPr>
      <t xml:space="preserve">9_Wording #11</t>
    </r>
    <r>
      <rPr>
        <sz val="10"/>
        <rFont val="Noto Sans CJK SC"/>
        <family val="2"/>
      </rPr>
      <t xml:space="preserve">。</t>
    </r>
  </si>
  <si>
    <t xml:space="preserve">#8 / #11</t>
  </si>
  <si>
    <t xml:space="preserve">SSCM 2025-07-07</t>
  </si>
  <si>
    <r>
      <rPr>
        <sz val="10"/>
        <rFont val="Arial"/>
        <family val="0"/>
        <charset val="1"/>
      </rPr>
      <t xml:space="preserve">Oil &amp; gas E&amp;P</t>
    </r>
    <r>
      <rPr>
        <sz val="10"/>
        <rFont val="Noto Sans CJK SC"/>
        <family val="2"/>
      </rPr>
      <t xml:space="preserve">（</t>
    </r>
    <r>
      <rPr>
        <sz val="10"/>
        <rFont val="Arial"/>
        <family val="0"/>
        <charset val="1"/>
      </rPr>
      <t xml:space="preserve">geographic diversity </t>
    </r>
    <r>
      <rPr>
        <sz val="10"/>
        <rFont val="Noto Sans CJK SC"/>
        <family val="2"/>
      </rPr>
      <t xml:space="preserve">描述）；</t>
    </r>
    <r>
      <rPr>
        <sz val="10"/>
        <rFont val="Arial"/>
        <family val="0"/>
        <charset val="1"/>
      </rPr>
      <t xml:space="preserve">oilfield services</t>
    </r>
  </si>
  <si>
    <r>
      <rPr>
        <sz val="10"/>
        <rFont val="Arial"/>
        <family val="0"/>
        <charset val="1"/>
      </rPr>
      <t xml:space="preserve">"located in countries that have a country risk score of '3' or lower"</t>
    </r>
    <r>
      <rPr>
        <sz val="10"/>
        <rFont val="Noto Sans CJK SC"/>
        <family val="2"/>
      </rPr>
      <t xml:space="preserve">；</t>
    </r>
    <r>
      <rPr>
        <sz val="10"/>
        <rFont val="Arial"/>
        <family val="0"/>
        <charset val="1"/>
      </rPr>
      <t xml:space="preserve">"where the country risk score is '3' or better"</t>
    </r>
    <r>
      <rPr>
        <sz val="10"/>
        <rFont val="Noto Sans CJK SC"/>
        <family val="2"/>
      </rPr>
      <t xml:space="preserve">。</t>
    </r>
  </si>
  <si>
    <r>
      <rPr>
        <sz val="10"/>
        <rFont val="Noto Sans CJK SC"/>
        <family val="2"/>
      </rPr>
      <t xml:space="preserve">直接（国家层面的 </t>
    </r>
    <r>
      <rPr>
        <sz val="10"/>
        <rFont val="Arial"/>
        <family val="0"/>
        <charset val="1"/>
      </rPr>
      <t xml:space="preserve">score </t>
    </r>
    <r>
      <rPr>
        <sz val="10"/>
        <rFont val="Noto Sans CJK SC"/>
        <family val="2"/>
      </rPr>
      <t xml:space="preserve">门槛）</t>
    </r>
  </si>
  <si>
    <r>
      <rPr>
        <sz val="10"/>
        <rFont val="Noto Sans CJK SC"/>
        <family val="2"/>
      </rPr>
      <t xml:space="preserve">引用的是国家 </t>
    </r>
    <r>
      <rPr>
        <sz val="10"/>
        <rFont val="Arial"/>
        <family val="0"/>
        <charset val="1"/>
      </rPr>
      <t xml:space="preserve">score</t>
    </r>
    <r>
      <rPr>
        <sz val="10"/>
        <rFont val="Noto Sans CJK SC"/>
        <family val="2"/>
      </rPr>
      <t xml:space="preserve">，不是 </t>
    </r>
    <r>
      <rPr>
        <sz val="10"/>
        <rFont val="Arial"/>
        <family val="0"/>
        <charset val="1"/>
      </rPr>
      <t xml:space="preserve">entity </t>
    </r>
    <r>
      <rPr>
        <sz val="10"/>
        <rFont val="Noto Sans CJK SC"/>
        <family val="2"/>
      </rPr>
      <t xml:space="preserve">加权结果，因此 </t>
    </r>
    <r>
      <rPr>
        <sz val="10"/>
        <rFont val="Arial"/>
        <family val="0"/>
        <charset val="1"/>
      </rPr>
      <t xml:space="preserve">#1 </t>
    </r>
    <r>
      <rPr>
        <sz val="10"/>
        <rFont val="Noto Sans CJK SC"/>
        <family val="2"/>
      </rPr>
      <t xml:space="preserve">不直接改变这些门槛；但 </t>
    </r>
    <r>
      <rPr>
        <sz val="10"/>
        <rFont val="Arial"/>
        <family val="0"/>
        <charset val="1"/>
      </rPr>
      <t xml:space="preserve">SSCM </t>
    </r>
    <r>
      <rPr>
        <sz val="10"/>
        <rFont val="Noto Sans CJK SC"/>
        <family val="2"/>
      </rPr>
      <t xml:space="preserve">未列入 </t>
    </r>
    <r>
      <rPr>
        <sz val="10"/>
        <rFont val="Arial"/>
        <family val="0"/>
        <charset val="1"/>
      </rPr>
      <t xml:space="preserve">CP-72 </t>
    </r>
    <r>
      <rPr>
        <sz val="10"/>
        <rFont val="Noto Sans CJK SC"/>
        <family val="2"/>
      </rPr>
      <t xml:space="preserve">的 </t>
    </r>
    <r>
      <rPr>
        <sz val="10"/>
        <rFont val="Arial"/>
        <family val="0"/>
        <charset val="1"/>
      </rPr>
      <t xml:space="preserve">11 </t>
    </r>
    <r>
      <rPr>
        <sz val="10"/>
        <rFont val="Noto Sans CJK SC"/>
        <family val="2"/>
      </rPr>
      <t xml:space="preserve">项 </t>
    </r>
    <r>
      <rPr>
        <sz val="10"/>
        <rFont val="Arial"/>
        <family val="0"/>
        <charset val="1"/>
      </rPr>
      <t xml:space="preserve">change</t>
    </r>
    <r>
      <rPr>
        <sz val="10"/>
        <rFont val="Noto Sans CJK SC"/>
        <family val="2"/>
      </rPr>
      <t xml:space="preserve">。</t>
    </r>
  </si>
  <si>
    <r>
      <rPr>
        <sz val="10"/>
        <rFont val="Noto Sans CJK SC"/>
        <family val="2"/>
      </rPr>
      <t xml:space="preserve">确认 </t>
    </r>
    <r>
      <rPr>
        <sz val="10"/>
        <rFont val="Arial"/>
        <family val="0"/>
        <charset val="1"/>
      </rPr>
      <t xml:space="preserve">SSCM </t>
    </r>
    <r>
      <rPr>
        <sz val="10"/>
        <rFont val="Noto Sans CJK SC"/>
        <family val="2"/>
      </rPr>
      <t xml:space="preserve">是否随 </t>
    </r>
    <r>
      <rPr>
        <sz val="10"/>
        <rFont val="Arial"/>
        <family val="0"/>
        <charset val="1"/>
      </rPr>
      <t xml:space="preserve">CP-72 </t>
    </r>
    <r>
      <rPr>
        <sz val="10"/>
        <rFont val="Noto Sans CJK SC"/>
        <family val="2"/>
      </rPr>
      <t xml:space="preserve">修订；确认 </t>
    </r>
    <r>
      <rPr>
        <sz val="10"/>
        <rFont val="Arial"/>
        <family val="0"/>
        <charset val="1"/>
      </rPr>
      <t xml:space="preserve">"country risk score" </t>
    </r>
    <r>
      <rPr>
        <sz val="10"/>
        <rFont val="Noto Sans CJK SC"/>
        <family val="2"/>
      </rPr>
      <t xml:space="preserve">在 </t>
    </r>
    <r>
      <rPr>
        <sz val="10"/>
        <rFont val="Arial"/>
        <family val="0"/>
        <charset val="1"/>
      </rPr>
      <t xml:space="preserve">SSCM </t>
    </r>
    <r>
      <rPr>
        <sz val="10"/>
        <rFont val="Noto Sans CJK SC"/>
        <family val="2"/>
      </rPr>
      <t xml:space="preserve">中的含义（国家还是 </t>
    </r>
    <r>
      <rPr>
        <sz val="10"/>
        <rFont val="Arial"/>
        <family val="0"/>
        <charset val="1"/>
      </rPr>
      <t xml:space="preserve">entity</t>
    </r>
    <r>
      <rPr>
        <sz val="10"/>
        <rFont val="Noto Sans CJK SC"/>
        <family val="2"/>
      </rPr>
      <t xml:space="preserve">）。</t>
    </r>
  </si>
  <si>
    <t xml:space="preserve">SSCM</t>
  </si>
  <si>
    <r>
      <rPr>
        <sz val="10"/>
        <rFont val="Arial"/>
        <family val="0"/>
        <charset val="1"/>
      </rPr>
      <t xml:space="preserve">Regulated utilities</t>
    </r>
    <r>
      <rPr>
        <sz val="10"/>
        <rFont val="Noto Sans CJK SC"/>
        <family val="2"/>
      </rPr>
      <t xml:space="preserve">；</t>
    </r>
    <r>
      <rPr>
        <sz val="10"/>
        <rFont val="Arial"/>
        <family val="0"/>
        <charset val="1"/>
      </rPr>
      <t xml:space="preserve">unregulated power</t>
    </r>
  </si>
  <si>
    <r>
      <rPr>
        <sz val="10"/>
        <rFont val="Arial"/>
        <family val="0"/>
        <charset val="1"/>
      </rPr>
      <t xml:space="preserve">Medial volatility table </t>
    </r>
    <r>
      <rPr>
        <sz val="10"/>
        <rFont val="Noto Sans CJK SC"/>
        <family val="2"/>
      </rPr>
      <t xml:space="preserve">适用条件之一：</t>
    </r>
    <r>
      <rPr>
        <sz val="10"/>
        <rFont val="Arial"/>
        <family val="0"/>
        <charset val="1"/>
      </rPr>
      <t xml:space="preserve">"operate in a jurisdiction where the country risk is '4' or better"</t>
    </r>
    <r>
      <rPr>
        <sz val="10"/>
        <rFont val="Noto Sans CJK SC"/>
        <family val="2"/>
      </rPr>
      <t xml:space="preserve">；</t>
    </r>
    <r>
      <rPr>
        <sz val="10"/>
        <rFont val="Arial"/>
        <family val="0"/>
        <charset val="1"/>
      </rPr>
      <t xml:space="preserve">"companies with unregulated activities with country risk of '4' or better"</t>
    </r>
    <r>
      <rPr>
        <sz val="10"/>
        <rFont val="Noto Sans CJK SC"/>
        <family val="2"/>
      </rPr>
      <t xml:space="preserve">。</t>
    </r>
  </si>
  <si>
    <r>
      <rPr>
        <sz val="10"/>
        <rFont val="Noto Sans CJK SC"/>
        <family val="2"/>
      </rPr>
      <t xml:space="preserve">直接（</t>
    </r>
    <r>
      <rPr>
        <sz val="10"/>
        <rFont val="Arial"/>
        <family val="0"/>
        <charset val="1"/>
      </rPr>
      <t xml:space="preserve">CR ≤4 </t>
    </r>
    <r>
      <rPr>
        <sz val="10"/>
        <rFont val="Noto Sans CJK SC"/>
        <family val="2"/>
      </rPr>
      <t xml:space="preserve">门槛）</t>
    </r>
  </si>
  <si>
    <r>
      <rPr>
        <sz val="10"/>
        <rFont val="Noto Sans CJK SC"/>
        <family val="2"/>
      </rPr>
      <t xml:space="preserve">若 </t>
    </r>
    <r>
      <rPr>
        <sz val="10"/>
        <rFont val="Arial"/>
        <family val="0"/>
        <charset val="1"/>
      </rPr>
      <t xml:space="preserve">entity </t>
    </r>
    <r>
      <rPr>
        <sz val="10"/>
        <rFont val="Noto Sans CJK SC"/>
        <family val="2"/>
      </rPr>
      <t xml:space="preserve">的 </t>
    </r>
    <r>
      <rPr>
        <sz val="10"/>
        <rFont val="Arial"/>
        <family val="0"/>
        <charset val="1"/>
      </rPr>
      <t xml:space="preserve">CR </t>
    </r>
    <r>
      <rPr>
        <sz val="10"/>
        <rFont val="Noto Sans CJK SC"/>
        <family val="2"/>
      </rPr>
      <t xml:space="preserve">因 −</t>
    </r>
    <r>
      <rPr>
        <sz val="10"/>
        <rFont val="Arial"/>
        <family val="0"/>
        <charset val="1"/>
      </rPr>
      <t xml:space="preserve">1 notching </t>
    </r>
    <r>
      <rPr>
        <sz val="10"/>
        <rFont val="Noto Sans CJK SC"/>
        <family val="2"/>
      </rPr>
      <t xml:space="preserve">从 </t>
    </r>
    <r>
      <rPr>
        <sz val="10"/>
        <rFont val="Arial"/>
        <family val="0"/>
        <charset val="1"/>
      </rPr>
      <t xml:space="preserve">4 </t>
    </r>
    <r>
      <rPr>
        <sz val="10"/>
        <rFont val="Noto Sans CJK SC"/>
        <family val="2"/>
      </rPr>
      <t xml:space="preserve">变 </t>
    </r>
    <r>
      <rPr>
        <sz val="10"/>
        <rFont val="Arial"/>
        <family val="0"/>
        <charset val="1"/>
      </rPr>
      <t xml:space="preserve">5</t>
    </r>
    <r>
      <rPr>
        <sz val="10"/>
        <rFont val="Noto Sans CJK SC"/>
        <family val="2"/>
      </rPr>
      <t xml:space="preserve">，</t>
    </r>
    <r>
      <rPr>
        <sz val="10"/>
        <rFont val="Arial"/>
        <family val="0"/>
        <charset val="1"/>
      </rPr>
      <t xml:space="preserve">medial table </t>
    </r>
    <r>
      <rPr>
        <sz val="10"/>
        <rFont val="Noto Sans CJK SC"/>
        <family val="2"/>
      </rPr>
      <t xml:space="preserve">资格消失 → </t>
    </r>
    <r>
      <rPr>
        <sz val="10"/>
        <rFont val="Arial"/>
        <family val="0"/>
        <charset val="1"/>
      </rPr>
      <t xml:space="preserve">FRP </t>
    </r>
    <r>
      <rPr>
        <sz val="10"/>
        <rFont val="Noto Sans CJK SC"/>
        <family val="2"/>
      </rPr>
      <t xml:space="preserve">变动。</t>
    </r>
  </si>
  <si>
    <r>
      <rPr>
        <sz val="10"/>
        <rFont val="Noto Sans CJK SC"/>
        <family val="2"/>
      </rPr>
      <t xml:space="preserve">属于 −</t>
    </r>
    <r>
      <rPr>
        <sz val="10"/>
        <rFont val="Arial"/>
        <family val="0"/>
        <charset val="1"/>
      </rPr>
      <t xml:space="preserve">1 notching </t>
    </r>
    <r>
      <rPr>
        <sz val="10"/>
        <rFont val="Noto Sans CJK SC"/>
        <family val="2"/>
      </rPr>
      <t xml:space="preserve">的第二传导路径，与 </t>
    </r>
    <r>
      <rPr>
        <sz val="10"/>
        <rFont val="Arial"/>
        <family val="0"/>
        <charset val="1"/>
      </rPr>
      <t xml:space="preserve">Table 1 </t>
    </r>
    <r>
      <rPr>
        <sz val="10"/>
        <rFont val="Noto Sans CJK SC"/>
        <family val="2"/>
      </rPr>
      <t xml:space="preserve">路径叠加。</t>
    </r>
  </si>
  <si>
    <t xml:space="preserve">#5 / SSCM</t>
  </si>
  <si>
    <r>
      <rPr>
        <sz val="10"/>
        <rFont val="Arial"/>
        <family val="0"/>
        <charset val="1"/>
      </rPr>
      <t xml:space="preserve">Contract drilling</t>
    </r>
    <r>
      <rPr>
        <sz val="10"/>
        <rFont val="Noto Sans CJK SC"/>
        <family val="2"/>
      </rPr>
      <t xml:space="preserve">；</t>
    </r>
    <r>
      <rPr>
        <sz val="10"/>
        <rFont val="Arial"/>
        <family val="0"/>
        <charset val="1"/>
      </rPr>
      <t xml:space="preserve">mining</t>
    </r>
  </si>
  <si>
    <r>
      <rPr>
        <sz val="10"/>
        <rFont val="Arial"/>
        <family val="0"/>
        <charset val="1"/>
      </rPr>
      <t xml:space="preserve">"Certain country or jurisdiction risk factors ... may not be captured in our country risk assessment"</t>
    </r>
    <r>
      <rPr>
        <sz val="10"/>
        <rFont val="Noto Sans CJK SC"/>
        <family val="2"/>
      </rPr>
      <t xml:space="preserve">；</t>
    </r>
    <r>
      <rPr>
        <sz val="10"/>
        <rFont val="Arial"/>
        <family val="0"/>
        <charset val="1"/>
      </rPr>
      <t xml:space="preserve">"industry-specific geographic or jurisdiction risks ... may not be captured in our country risk score"</t>
    </r>
    <r>
      <rPr>
        <sz val="10"/>
        <rFont val="Noto Sans CJK SC"/>
        <family val="2"/>
      </rPr>
      <t xml:space="preserve">。</t>
    </r>
  </si>
  <si>
    <r>
      <rPr>
        <sz val="10"/>
        <rFont val="Noto Sans CJK SC"/>
        <family val="2"/>
      </rPr>
      <t xml:space="preserve">概念（在 </t>
    </r>
    <r>
      <rPr>
        <sz val="10"/>
        <rFont val="Arial"/>
        <family val="0"/>
        <charset val="1"/>
      </rPr>
      <t xml:space="preserve">competitive position </t>
    </r>
    <r>
      <rPr>
        <sz val="10"/>
        <rFont val="Noto Sans CJK SC"/>
        <family val="2"/>
      </rPr>
      <t xml:space="preserve">中补充 </t>
    </r>
    <r>
      <rPr>
        <sz val="10"/>
        <rFont val="Arial"/>
        <family val="0"/>
        <charset val="1"/>
      </rPr>
      <t xml:space="preserve">country risk </t>
    </r>
    <r>
      <rPr>
        <sz val="10"/>
        <rFont val="Noto Sans CJK SC"/>
        <family val="2"/>
      </rPr>
      <t xml:space="preserve">未覆盖的风险）</t>
    </r>
  </si>
  <si>
    <r>
      <rPr>
        <sz val="10"/>
        <rFont val="Noto Sans CJK SC"/>
        <family val="2"/>
      </rPr>
      <t xml:space="preserve">与 −</t>
    </r>
    <r>
      <rPr>
        <sz val="10"/>
        <rFont val="Arial"/>
        <family val="0"/>
        <charset val="1"/>
      </rPr>
      <t xml:space="preserve">1 notching </t>
    </r>
    <r>
      <rPr>
        <sz val="10"/>
        <rFont val="Noto Sans CJK SC"/>
        <family val="2"/>
      </rPr>
      <t xml:space="preserve">的示例（</t>
    </r>
    <r>
      <rPr>
        <sz val="10"/>
        <rFont val="Arial"/>
        <family val="0"/>
        <charset val="1"/>
      </rPr>
      <t xml:space="preserve">supplier dependence</t>
    </r>
    <r>
      <rPr>
        <sz val="10"/>
        <rFont val="Noto Sans CJK SC"/>
        <family val="2"/>
      </rPr>
      <t xml:space="preserve">）存在潜在重叠：同一风险可能在 </t>
    </r>
    <r>
      <rPr>
        <sz val="10"/>
        <rFont val="Arial"/>
        <family val="0"/>
        <charset val="1"/>
      </rPr>
      <t xml:space="preserve">country risk </t>
    </r>
    <r>
      <rPr>
        <sz val="10"/>
        <rFont val="Noto Sans CJK SC"/>
        <family val="2"/>
      </rPr>
      <t xml:space="preserve">与 </t>
    </r>
    <r>
      <rPr>
        <sz val="10"/>
        <rFont val="Arial"/>
        <family val="0"/>
        <charset val="1"/>
      </rPr>
      <t xml:space="preserve">competitive position </t>
    </r>
    <r>
      <rPr>
        <sz val="10"/>
        <rFont val="Noto Sans CJK SC"/>
        <family val="2"/>
      </rPr>
      <t xml:space="preserve">各扣一次。</t>
    </r>
  </si>
  <si>
    <r>
      <rPr>
        <sz val="10"/>
        <rFont val="Noto Sans CJK SC"/>
        <family val="2"/>
      </rPr>
      <t xml:space="preserve">需 </t>
    </r>
    <r>
      <rPr>
        <sz val="10"/>
        <rFont val="Arial"/>
        <family val="0"/>
        <charset val="1"/>
      </rPr>
      <t xml:space="preserve">draft </t>
    </r>
    <r>
      <rPr>
        <sz val="10"/>
        <rFont val="Noto Sans CJK SC"/>
        <family val="2"/>
      </rPr>
      <t xml:space="preserve">说明 −</t>
    </r>
    <r>
      <rPr>
        <sz val="10"/>
        <rFont val="Arial"/>
        <family val="0"/>
        <charset val="1"/>
      </rPr>
      <t xml:space="preserve">1 notching </t>
    </r>
    <r>
      <rPr>
        <sz val="10"/>
        <rFont val="Noto Sans CJK SC"/>
        <family val="2"/>
      </rPr>
      <t xml:space="preserve">与 </t>
    </r>
    <r>
      <rPr>
        <sz val="10"/>
        <rFont val="Arial"/>
        <family val="0"/>
        <charset val="1"/>
      </rPr>
      <t xml:space="preserve">sector-specific jurisdiction risk </t>
    </r>
    <r>
      <rPr>
        <sz val="10"/>
        <rFont val="Noto Sans CJK SC"/>
        <family val="2"/>
      </rPr>
      <t xml:space="preserve">的边界。</t>
    </r>
  </si>
  <si>
    <r>
      <rPr>
        <sz val="10"/>
        <rFont val="Arial"/>
        <family val="0"/>
        <charset val="1"/>
      </rPr>
      <t xml:space="preserve">IHC methodology 2015 para 20</t>
    </r>
    <r>
      <rPr>
        <sz val="10"/>
        <rFont val="Noto Sans CJK SC"/>
        <family val="2"/>
      </rPr>
      <t xml:space="preserve">；</t>
    </r>
    <r>
      <rPr>
        <sz val="10"/>
        <rFont val="Arial"/>
        <family val="0"/>
        <charset val="1"/>
      </rPr>
      <t xml:space="preserve">Project Developers 2016 paras 23–26</t>
    </r>
    <r>
      <rPr>
        <sz val="10"/>
        <rFont val="Noto Sans CJK SC"/>
        <family val="2"/>
      </rPr>
      <t xml:space="preserve">；</t>
    </r>
    <r>
      <rPr>
        <sz val="10"/>
        <rFont val="Arial"/>
        <family val="0"/>
        <charset val="1"/>
      </rPr>
      <t xml:space="preserve">Commodities Trading 2017 paras 6–7</t>
    </r>
    <r>
      <rPr>
        <sz val="10"/>
        <rFont val="Noto Sans CJK SC"/>
        <family val="2"/>
      </rPr>
      <t xml:space="preserve">；</t>
    </r>
    <r>
      <rPr>
        <sz val="10"/>
        <rFont val="Arial"/>
        <family val="0"/>
        <charset val="1"/>
      </rPr>
      <t xml:space="preserve">Real Estate KCF 2018 para 23</t>
    </r>
  </si>
  <si>
    <r>
      <rPr>
        <sz val="10"/>
        <rFont val="Noto Sans CJK SC"/>
        <family val="2"/>
      </rPr>
      <t xml:space="preserve">各自的 </t>
    </r>
    <r>
      <rPr>
        <sz val="10"/>
        <rFont val="Arial"/>
        <family val="0"/>
        <charset val="1"/>
      </rPr>
      <t xml:space="preserve">country risk </t>
    </r>
    <r>
      <rPr>
        <sz val="10"/>
        <rFont val="Noto Sans CJK SC"/>
        <family val="2"/>
      </rPr>
      <t xml:space="preserve">段落</t>
    </r>
  </si>
  <si>
    <r>
      <rPr>
        <sz val="10"/>
        <rFont val="Arial"/>
        <family val="0"/>
        <charset val="1"/>
      </rPr>
      <t xml:space="preserve">IHC</t>
    </r>
    <r>
      <rPr>
        <sz val="10"/>
        <rFont val="Noto Sans CJK SC"/>
        <family val="2"/>
      </rPr>
      <t xml:space="preserve">、</t>
    </r>
    <r>
      <rPr>
        <sz val="10"/>
        <rFont val="Arial"/>
        <family val="0"/>
        <charset val="1"/>
      </rPr>
      <t xml:space="preserve">Project Developers </t>
    </r>
    <r>
      <rPr>
        <sz val="10"/>
        <rFont val="Noto Sans CJK SC"/>
        <family val="2"/>
      </rPr>
      <t xml:space="preserve">复述 </t>
    </r>
    <r>
      <rPr>
        <sz val="10"/>
        <rFont val="Arial"/>
        <family val="0"/>
        <charset val="1"/>
      </rPr>
      <t xml:space="preserve">1–6 scale </t>
    </r>
    <r>
      <rPr>
        <sz val="10"/>
        <rFont val="Noto Sans CJK SC"/>
        <family val="2"/>
      </rPr>
      <t xml:space="preserve">与 </t>
    </r>
    <r>
      <rPr>
        <sz val="10"/>
        <rFont val="Arial"/>
        <family val="0"/>
        <charset val="1"/>
      </rPr>
      <t xml:space="preserve">CICRA </t>
    </r>
    <r>
      <rPr>
        <sz val="10"/>
        <rFont val="Noto Sans CJK SC"/>
        <family val="2"/>
      </rPr>
      <t xml:space="preserve">表；</t>
    </r>
    <r>
      <rPr>
        <sz val="10"/>
        <rFont val="Arial"/>
        <family val="0"/>
        <charset val="1"/>
      </rPr>
      <t xml:space="preserve">Commodities Trading </t>
    </r>
    <r>
      <rPr>
        <sz val="10"/>
        <rFont val="Noto Sans CJK SC"/>
        <family val="2"/>
      </rPr>
      <t xml:space="preserve">以 </t>
    </r>
    <r>
      <rPr>
        <sz val="10"/>
        <rFont val="Arial"/>
        <family val="0"/>
        <charset val="1"/>
      </rPr>
      <t xml:space="preserve">country risk component </t>
    </r>
    <r>
      <rPr>
        <sz val="10"/>
        <rFont val="Noto Sans CJK SC"/>
        <family val="2"/>
      </rPr>
      <t xml:space="preserve">决定 </t>
    </r>
    <r>
      <rPr>
        <sz val="10"/>
        <rFont val="Arial"/>
        <family val="0"/>
        <charset val="1"/>
      </rPr>
      <t xml:space="preserve">anchor</t>
    </r>
    <r>
      <rPr>
        <sz val="10"/>
        <rFont val="Noto Sans CJK SC"/>
        <family val="2"/>
      </rPr>
      <t xml:space="preserve">；</t>
    </r>
    <r>
      <rPr>
        <sz val="10"/>
        <rFont val="Arial"/>
        <family val="0"/>
        <charset val="1"/>
      </rPr>
      <t xml:space="preserve">Real Estate KCF </t>
    </r>
    <r>
      <rPr>
        <sz val="10"/>
        <rFont val="Noto Sans CJK SC"/>
        <family val="2"/>
      </rPr>
      <t xml:space="preserve">写 </t>
    </r>
    <r>
      <rPr>
        <sz val="10"/>
        <rFont val="Arial"/>
        <family val="0"/>
        <charset val="1"/>
      </rPr>
      <t xml:space="preserve">"same methodology as with other corporate issuers (see global corporate criteria)"</t>
    </r>
    <r>
      <rPr>
        <sz val="10"/>
        <rFont val="Noto Sans CJK SC"/>
        <family val="2"/>
      </rPr>
      <t xml:space="preserve">。</t>
    </r>
  </si>
  <si>
    <r>
      <rPr>
        <sz val="10"/>
        <rFont val="Noto Sans CJK SC"/>
        <family val="2"/>
      </rPr>
      <t xml:space="preserve">引用 </t>
    </r>
    <r>
      <rPr>
        <sz val="10"/>
        <rFont val="Arial"/>
        <family val="0"/>
        <charset val="1"/>
      </rPr>
      <t xml:space="preserve">/ </t>
    </r>
    <r>
      <rPr>
        <sz val="10"/>
        <rFont val="Noto Sans CJK SC"/>
        <family val="2"/>
      </rPr>
      <t xml:space="preserve">复述</t>
    </r>
  </si>
  <si>
    <r>
      <rPr>
        <sz val="10"/>
        <rFont val="Noto Sans CJK SC"/>
        <family val="2"/>
      </rPr>
      <t xml:space="preserve">这些 </t>
    </r>
    <r>
      <rPr>
        <sz val="10"/>
        <rFont val="Arial"/>
        <family val="0"/>
        <charset val="1"/>
      </rPr>
      <t xml:space="preserve">criteria </t>
    </r>
    <r>
      <rPr>
        <sz val="10"/>
        <rFont val="Noto Sans CJK SC"/>
        <family val="2"/>
      </rPr>
      <t xml:space="preserve">通过引用继承新 </t>
    </r>
    <r>
      <rPr>
        <sz val="10"/>
        <rFont val="Arial"/>
        <family val="0"/>
        <charset val="1"/>
      </rPr>
      <t xml:space="preserve">determination</t>
    </r>
    <r>
      <rPr>
        <sz val="10"/>
        <rFont val="Noto Sans CJK SC"/>
        <family val="2"/>
      </rPr>
      <t xml:space="preserve">；复述 </t>
    </r>
    <r>
      <rPr>
        <sz val="10"/>
        <rFont val="Arial"/>
        <family val="0"/>
        <charset val="1"/>
      </rPr>
      <t xml:space="preserve">CICRA </t>
    </r>
    <r>
      <rPr>
        <sz val="10"/>
        <rFont val="Noto Sans CJK SC"/>
        <family val="2"/>
      </rPr>
      <t xml:space="preserve">表的 </t>
    </r>
    <r>
      <rPr>
        <sz val="10"/>
        <rFont val="Arial"/>
        <family val="0"/>
        <charset val="1"/>
      </rPr>
      <t xml:space="preserve">criteria </t>
    </r>
    <r>
      <rPr>
        <sz val="10"/>
        <rFont val="Noto Sans CJK SC"/>
        <family val="2"/>
      </rPr>
      <t xml:space="preserve">不受影响；引用 </t>
    </r>
    <r>
      <rPr>
        <sz val="10"/>
        <rFont val="Arial"/>
        <family val="0"/>
        <charset val="1"/>
      </rPr>
      <t xml:space="preserve">"global corporate criteria" </t>
    </r>
    <r>
      <rPr>
        <sz val="10"/>
        <rFont val="Noto Sans CJK SC"/>
        <family val="2"/>
      </rPr>
      <t xml:space="preserve">的 </t>
    </r>
    <r>
      <rPr>
        <sz val="10"/>
        <rFont val="Arial"/>
        <family val="0"/>
        <charset val="1"/>
      </rPr>
      <t xml:space="preserve">criteria </t>
    </r>
    <r>
      <rPr>
        <sz val="10"/>
        <rFont val="Noto Sans CJK SC"/>
        <family val="2"/>
      </rPr>
      <t xml:space="preserve">自动跟随。</t>
    </r>
  </si>
  <si>
    <r>
      <rPr>
        <sz val="10"/>
        <rFont val="Noto Sans CJK SC"/>
        <family val="2"/>
      </rPr>
      <t xml:space="preserve">核对是否有 </t>
    </r>
    <r>
      <rPr>
        <sz val="10"/>
        <rFont val="Arial"/>
        <family val="0"/>
        <charset val="1"/>
      </rPr>
      <t xml:space="preserve">criteria </t>
    </r>
    <r>
      <rPr>
        <sz val="10"/>
        <rFont val="Noto Sans CJK SC"/>
        <family val="2"/>
      </rPr>
      <t xml:space="preserve">引用具体 </t>
    </r>
    <r>
      <rPr>
        <sz val="10"/>
        <rFont val="Arial"/>
        <family val="0"/>
        <charset val="1"/>
      </rPr>
      <t xml:space="preserve">para </t>
    </r>
    <r>
      <rPr>
        <sz val="10"/>
        <rFont val="Noto Sans CJK SC"/>
        <family val="2"/>
      </rPr>
      <t xml:space="preserve">号（</t>
    </r>
    <r>
      <rPr>
        <sz val="10"/>
        <rFont val="Arial"/>
        <family val="0"/>
        <charset val="1"/>
      </rPr>
      <t xml:space="preserve">42–51</t>
    </r>
    <r>
      <rPr>
        <sz val="10"/>
        <rFont val="Noto Sans CJK SC"/>
        <family val="2"/>
      </rPr>
      <t xml:space="preserve">）或 </t>
    </r>
    <r>
      <rPr>
        <sz val="10"/>
        <rFont val="Arial"/>
        <family val="0"/>
        <charset val="1"/>
      </rPr>
      <t xml:space="preserve">5% threshold</t>
    </r>
    <r>
      <rPr>
        <sz val="10"/>
        <rFont val="Noto Sans CJK SC"/>
        <family val="2"/>
      </rPr>
      <t xml:space="preserve">；目前抽查的 </t>
    </r>
    <r>
      <rPr>
        <sz val="10"/>
        <rFont val="Arial"/>
        <family val="0"/>
        <charset val="1"/>
      </rPr>
      <t xml:space="preserve">4 </t>
    </r>
    <r>
      <rPr>
        <sz val="10"/>
        <rFont val="Noto Sans CJK SC"/>
        <family val="2"/>
      </rPr>
      <t xml:space="preserve">篇没有。</t>
    </r>
  </si>
  <si>
    <r>
      <rPr>
        <sz val="10"/>
        <rFont val="Noto Sans CJK SC"/>
        <family val="2"/>
      </rPr>
      <t xml:space="preserve">跨 </t>
    </r>
    <r>
      <rPr>
        <sz val="10"/>
        <rFont val="Arial"/>
        <family val="0"/>
        <charset val="1"/>
      </rPr>
      <t xml:space="preserve">criteria</t>
    </r>
  </si>
  <si>
    <t xml:space="preserve">C&amp;G RAS 2013 paras 55–58</t>
  </si>
  <si>
    <t xml:space="preserve">Blended sovereign rating for corporates</t>
  </si>
  <si>
    <r>
      <rPr>
        <sz val="10"/>
        <rFont val="Arial"/>
        <family val="0"/>
        <charset val="1"/>
      </rPr>
      <t xml:space="preserve">25% materiality + judgment</t>
    </r>
    <r>
      <rPr>
        <sz val="10"/>
        <rFont val="Noto Sans CJK SC"/>
        <family val="2"/>
      </rPr>
      <t xml:space="preserve">；</t>
    </r>
    <r>
      <rPr>
        <sz val="10"/>
        <rFont val="Arial"/>
        <family val="0"/>
        <charset val="1"/>
      </rPr>
      <t xml:space="preserve">+1 </t>
    </r>
    <r>
      <rPr>
        <sz val="10"/>
        <rFont val="Noto Sans CJK SC"/>
        <family val="2"/>
      </rPr>
      <t xml:space="preserve">条件（</t>
    </r>
    <r>
      <rPr>
        <sz val="10"/>
        <rFont val="Arial"/>
        <family val="0"/>
        <charset val="1"/>
      </rPr>
      <t xml:space="preserve">head office</t>
    </r>
    <r>
      <rPr>
        <sz val="10"/>
        <rFont val="Noto Sans CJK SC"/>
        <family val="2"/>
      </rPr>
      <t xml:space="preserve">、</t>
    </r>
    <r>
      <rPr>
        <sz val="10"/>
        <rFont val="Arial"/>
        <family val="0"/>
        <charset val="1"/>
      </rPr>
      <t xml:space="preserve">20%</t>
    </r>
    <r>
      <rPr>
        <sz val="10"/>
        <rFont val="Noto Sans CJK SC"/>
        <family val="2"/>
      </rPr>
      <t xml:space="preserve">、</t>
    </r>
    <r>
      <rPr>
        <sz val="10"/>
        <rFont val="Arial"/>
        <family val="0"/>
        <charset val="1"/>
      </rPr>
      <t xml:space="preserve">holding-level funding</t>
    </r>
    <r>
      <rPr>
        <sz val="10"/>
        <rFont val="Noto Sans CJK SC"/>
        <family val="2"/>
      </rPr>
      <t xml:space="preserve">）与 −</t>
    </r>
    <r>
      <rPr>
        <sz val="10"/>
        <rFont val="Arial"/>
        <family val="0"/>
        <charset val="1"/>
      </rPr>
      <t xml:space="preserve">1 </t>
    </r>
    <r>
      <rPr>
        <sz val="10"/>
        <rFont val="Noto Sans CJK SC"/>
        <family val="2"/>
      </rPr>
      <t xml:space="preserve">条件（</t>
    </r>
    <r>
      <rPr>
        <sz val="10"/>
        <rFont val="Arial"/>
        <family val="0"/>
        <charset val="1"/>
      </rPr>
      <t xml:space="preserve">head office</t>
    </r>
    <r>
      <rPr>
        <sz val="10"/>
        <rFont val="Noto Sans CJK SC"/>
        <family val="2"/>
      </rPr>
      <t xml:space="preserve">、</t>
    </r>
    <r>
      <rPr>
        <sz val="10"/>
        <rFont val="Arial"/>
        <family val="0"/>
        <charset val="1"/>
      </rPr>
      <t xml:space="preserve">funding</t>
    </r>
    <r>
      <rPr>
        <sz val="10"/>
        <rFont val="Noto Sans CJK SC"/>
        <family val="2"/>
      </rPr>
      <t xml:space="preserve">）。</t>
    </r>
  </si>
  <si>
    <r>
      <rPr>
        <sz val="10"/>
        <rFont val="Noto Sans CJK SC"/>
        <family val="2"/>
      </rPr>
      <t xml:space="preserve">平行构造（</t>
    </r>
    <r>
      <rPr>
        <sz val="10"/>
        <rFont val="Arial"/>
        <family val="0"/>
        <charset val="1"/>
      </rPr>
      <t xml:space="preserve">sovereign rating </t>
    </r>
    <r>
      <rPr>
        <sz val="10"/>
        <rFont val="Noto Sans CJK SC"/>
        <family val="2"/>
      </rPr>
      <t xml:space="preserve">而非 </t>
    </r>
    <r>
      <rPr>
        <sz val="10"/>
        <rFont val="Arial"/>
        <family val="0"/>
        <charset val="1"/>
      </rPr>
      <t xml:space="preserve">country risk</t>
    </r>
    <r>
      <rPr>
        <sz val="10"/>
        <rFont val="Noto Sans CJK SC"/>
        <family val="2"/>
      </rPr>
      <t xml:space="preserve">）</t>
    </r>
  </si>
  <si>
    <r>
      <rPr>
        <sz val="10"/>
        <rFont val="Arial"/>
        <family val="0"/>
        <charset val="1"/>
      </rPr>
      <t xml:space="preserve">para 57 </t>
    </r>
    <r>
      <rPr>
        <sz val="10"/>
        <rFont val="Noto Sans CJK SC"/>
        <family val="2"/>
      </rPr>
      <t xml:space="preserve">是 </t>
    </r>
    <r>
      <rPr>
        <sz val="10"/>
        <rFont val="Arial"/>
        <family val="0"/>
        <charset val="1"/>
      </rPr>
      <t xml:space="preserve">Corporate Methodology para 49 </t>
    </r>
    <r>
      <rPr>
        <sz val="10"/>
        <rFont val="Noto Sans CJK SC"/>
        <family val="2"/>
      </rPr>
      <t xml:space="preserve">的镜像；删除 </t>
    </r>
    <r>
      <rPr>
        <sz val="10"/>
        <rFont val="Arial"/>
        <family val="0"/>
        <charset val="1"/>
      </rPr>
      <t xml:space="preserve">para 49 </t>
    </r>
    <r>
      <rPr>
        <sz val="10"/>
        <rFont val="Noto Sans CJK SC"/>
        <family val="2"/>
      </rPr>
      <t xml:space="preserve">后两者分叉。</t>
    </r>
    <r>
      <rPr>
        <sz val="10"/>
        <rFont val="Arial"/>
        <family val="0"/>
        <charset val="1"/>
      </rPr>
      <t xml:space="preserve">para 58 </t>
    </r>
    <r>
      <rPr>
        <sz val="10"/>
        <rFont val="Noto Sans CJK SC"/>
        <family val="2"/>
      </rPr>
      <t xml:space="preserve">的 −</t>
    </r>
    <r>
      <rPr>
        <sz val="10"/>
        <rFont val="Arial"/>
        <family val="0"/>
        <charset val="1"/>
      </rPr>
      <t xml:space="preserve">1 </t>
    </r>
    <r>
      <rPr>
        <sz val="10"/>
        <rFont val="Noto Sans CJK SC"/>
        <family val="2"/>
      </rPr>
      <t xml:space="preserve">有 </t>
    </r>
    <r>
      <rPr>
        <sz val="10"/>
        <rFont val="Arial"/>
        <family val="0"/>
        <charset val="1"/>
      </rPr>
      <t xml:space="preserve">defined conditions</t>
    </r>
    <r>
      <rPr>
        <sz val="10"/>
        <rFont val="Noto Sans CJK SC"/>
        <family val="2"/>
      </rPr>
      <t xml:space="preserve">。</t>
    </r>
  </si>
  <si>
    <r>
      <rPr>
        <sz val="10"/>
        <rFont val="Noto Sans CJK SC"/>
        <family val="2"/>
      </rPr>
      <t xml:space="preserve">分叉可接受（对象不同），但 </t>
    </r>
    <r>
      <rPr>
        <sz val="10"/>
        <rFont val="Arial"/>
        <family val="0"/>
        <charset val="1"/>
      </rPr>
      <t xml:space="preserve">squad </t>
    </r>
    <r>
      <rPr>
        <sz val="10"/>
        <rFont val="Noto Sans CJK SC"/>
        <family val="2"/>
      </rPr>
      <t xml:space="preserve">应说明；</t>
    </r>
    <r>
      <rPr>
        <sz val="10"/>
        <rFont val="Arial"/>
        <family val="0"/>
        <charset val="1"/>
      </rPr>
      <t xml:space="preserve">para 58 </t>
    </r>
    <r>
      <rPr>
        <sz val="10"/>
        <rFont val="Noto Sans CJK SC"/>
        <family val="2"/>
      </rPr>
      <t xml:space="preserve">可作 −</t>
    </r>
    <r>
      <rPr>
        <sz val="10"/>
        <rFont val="Arial"/>
        <family val="0"/>
        <charset val="1"/>
      </rPr>
      <t xml:space="preserve">1 notching </t>
    </r>
    <r>
      <rPr>
        <sz val="10"/>
        <rFont val="Noto Sans CJK SC"/>
        <family val="2"/>
      </rPr>
      <t xml:space="preserve">触发条件的参照。</t>
    </r>
  </si>
  <si>
    <t xml:space="preserve">FI methodology 2021 paras 34–36</t>
  </si>
  <si>
    <t xml:space="preserve">Weighted-average economic risk</t>
  </si>
  <si>
    <r>
      <rPr>
        <sz val="10"/>
        <rFont val="Noto Sans CJK SC"/>
        <family val="2"/>
      </rPr>
      <t xml:space="preserve">只计 </t>
    </r>
    <r>
      <rPr>
        <sz val="10"/>
        <rFont val="Arial"/>
        <family val="0"/>
        <charset val="1"/>
      </rPr>
      <t xml:space="preserve">&gt;5% </t>
    </r>
    <r>
      <rPr>
        <sz val="10"/>
        <rFont val="Noto Sans CJK SC"/>
        <family val="2"/>
      </rPr>
      <t xml:space="preserve">的国家；权重 </t>
    </r>
    <r>
      <rPr>
        <sz val="10"/>
        <rFont val="Arial"/>
        <family val="0"/>
        <charset val="1"/>
      </rPr>
      <t xml:space="preserve">round to nearest 5%</t>
    </r>
    <r>
      <rPr>
        <sz val="10"/>
        <rFont val="Noto Sans CJK SC"/>
        <family val="2"/>
      </rPr>
      <t xml:space="preserve">；示例 </t>
    </r>
    <r>
      <rPr>
        <sz val="10"/>
        <rFont val="Arial"/>
        <family val="0"/>
        <charset val="1"/>
      </rPr>
      <t xml:space="preserve">2.55 → 3</t>
    </r>
    <r>
      <rPr>
        <sz val="10"/>
        <rFont val="Noto Sans CJK SC"/>
        <family val="2"/>
      </rPr>
      <t xml:space="preserve">。</t>
    </r>
  </si>
  <si>
    <r>
      <rPr>
        <sz val="10"/>
        <rFont val="Noto Sans CJK SC"/>
        <family val="2"/>
      </rPr>
      <t xml:space="preserve">平行构造（</t>
    </r>
    <r>
      <rPr>
        <sz val="10"/>
        <rFont val="Arial"/>
        <family val="0"/>
        <charset val="1"/>
      </rPr>
      <t xml:space="preserve">BICRA economic risk 1–10</t>
    </r>
    <r>
      <rPr>
        <sz val="10"/>
        <rFont val="Noto Sans CJK SC"/>
        <family val="2"/>
      </rPr>
      <t xml:space="preserve">）</t>
    </r>
  </si>
  <si>
    <r>
      <rPr>
        <sz val="10"/>
        <rFont val="Arial"/>
        <family val="0"/>
        <charset val="1"/>
      </rPr>
      <t xml:space="preserve">#1 </t>
    </r>
    <r>
      <rPr>
        <sz val="10"/>
        <rFont val="Noto Sans CJK SC"/>
        <family val="2"/>
      </rPr>
      <t xml:space="preserve">删除 </t>
    </r>
    <r>
      <rPr>
        <sz val="10"/>
        <rFont val="Arial"/>
        <family val="0"/>
        <charset val="1"/>
      </rPr>
      <t xml:space="preserve">5% threshold </t>
    </r>
    <r>
      <rPr>
        <sz val="10"/>
        <rFont val="Noto Sans CJK SC"/>
        <family val="2"/>
      </rPr>
      <t xml:space="preserve">与 </t>
    </r>
    <r>
      <rPr>
        <sz val="10"/>
        <rFont val="Arial"/>
        <family val="0"/>
        <charset val="1"/>
      </rPr>
      <t xml:space="preserve">5% rounding </t>
    </r>
    <r>
      <rPr>
        <sz val="10"/>
        <rFont val="Noto Sans CJK SC"/>
        <family val="2"/>
      </rPr>
      <t xml:space="preserve">后与 </t>
    </r>
    <r>
      <rPr>
        <sz val="10"/>
        <rFont val="Arial"/>
        <family val="0"/>
        <charset val="1"/>
      </rPr>
      <t xml:space="preserve">FI </t>
    </r>
    <r>
      <rPr>
        <sz val="10"/>
        <rFont val="Noto Sans CJK SC"/>
        <family val="2"/>
      </rPr>
      <t xml:space="preserve">分叉。</t>
    </r>
  </si>
  <si>
    <r>
      <rPr>
        <sz val="10"/>
        <rFont val="Noto Sans CJK SC"/>
        <family val="2"/>
      </rPr>
      <t xml:space="preserve">分叉可接受（</t>
    </r>
    <r>
      <rPr>
        <sz val="10"/>
        <rFont val="Arial"/>
        <family val="0"/>
        <charset val="1"/>
      </rPr>
      <t xml:space="preserve">scale </t>
    </r>
    <r>
      <rPr>
        <sz val="10"/>
        <rFont val="Noto Sans CJK SC"/>
        <family val="2"/>
      </rPr>
      <t xml:space="preserve">与数据粒度不同），但 </t>
    </r>
    <r>
      <rPr>
        <sz val="10"/>
        <rFont val="Arial"/>
        <family val="0"/>
        <charset val="1"/>
      </rPr>
      <t xml:space="preserve">squad </t>
    </r>
    <r>
      <rPr>
        <sz val="10"/>
        <rFont val="Noto Sans CJK SC"/>
        <family val="2"/>
      </rPr>
      <t xml:space="preserve">应说明；</t>
    </r>
    <r>
      <rPr>
        <sz val="10"/>
        <rFont val="Arial"/>
        <family val="0"/>
        <charset val="1"/>
      </rPr>
      <t xml:space="preserve">2.55→3 </t>
    </r>
    <r>
      <rPr>
        <sz val="10"/>
        <rFont val="Noto Sans CJK SC"/>
        <family val="2"/>
      </rPr>
      <t xml:space="preserve">是 </t>
    </r>
    <r>
      <rPr>
        <sz val="10"/>
        <rFont val="Arial"/>
        <family val="0"/>
        <charset val="1"/>
      </rPr>
      <t xml:space="preserve">x.5 </t>
    </r>
    <r>
      <rPr>
        <sz val="10"/>
        <rFont val="Noto Sans CJK SC"/>
        <family val="2"/>
      </rPr>
      <t xml:space="preserve">向上取整的内部先例。</t>
    </r>
  </si>
  <si>
    <r>
      <rPr>
        <sz val="10"/>
        <rFont val="Noto Sans CJK SC"/>
        <family val="2"/>
      </rPr>
      <t xml:space="preserve">跨 </t>
    </r>
    <r>
      <rPr>
        <sz val="10"/>
        <rFont val="Arial"/>
        <family val="0"/>
        <charset val="1"/>
      </rPr>
      <t xml:space="preserve">practice</t>
    </r>
  </si>
  <si>
    <t xml:space="preserve">Country Risk Assessment criteria 2013 para 16</t>
  </si>
  <si>
    <t xml:space="preserve">汇总方法的授权</t>
  </si>
  <si>
    <r>
      <rPr>
        <sz val="10"/>
        <rFont val="Arial"/>
        <family val="0"/>
        <charset val="1"/>
      </rPr>
      <t xml:space="preserve">"sector-level criteria will ... specify how the country risk assessment will be incorporated for a multi-jurisdictional entity ... typically using a weighted-average approach"</t>
    </r>
    <r>
      <rPr>
        <sz val="10"/>
        <rFont val="Noto Sans CJK SC"/>
        <family val="2"/>
      </rPr>
      <t xml:space="preserve">。</t>
    </r>
  </si>
  <si>
    <r>
      <rPr>
        <sz val="10"/>
        <rFont val="Noto Sans CJK SC"/>
        <family val="2"/>
      </rPr>
      <t xml:space="preserve">上位 </t>
    </r>
    <r>
      <rPr>
        <sz val="10"/>
        <rFont val="Arial"/>
        <family val="0"/>
        <charset val="1"/>
      </rPr>
      <t xml:space="preserve">criteria</t>
    </r>
  </si>
  <si>
    <r>
      <rPr>
        <sz val="10"/>
        <rFont val="Arial"/>
        <family val="0"/>
        <charset val="1"/>
      </rPr>
      <t xml:space="preserve">Proposal </t>
    </r>
    <r>
      <rPr>
        <sz val="10"/>
        <rFont val="Noto Sans CJK SC"/>
        <family val="2"/>
      </rPr>
      <t xml:space="preserve">以 </t>
    </r>
    <r>
      <rPr>
        <sz val="10"/>
        <rFont val="Arial"/>
        <family val="0"/>
        <charset val="1"/>
      </rPr>
      <t xml:space="preserve">weighted average </t>
    </r>
    <r>
      <rPr>
        <sz val="10"/>
        <rFont val="Noto Sans CJK SC"/>
        <family val="2"/>
      </rPr>
      <t xml:space="preserve">为主，与 </t>
    </r>
    <r>
      <rPr>
        <sz val="10"/>
        <rFont val="Arial"/>
        <family val="0"/>
        <charset val="1"/>
      </rPr>
      <t xml:space="preserve">para 16 </t>
    </r>
    <r>
      <rPr>
        <sz val="10"/>
        <rFont val="Noto Sans CJK SC"/>
        <family val="2"/>
      </rPr>
      <t xml:space="preserve">一致；</t>
    </r>
    <r>
      <rPr>
        <sz val="10"/>
        <rFont val="Arial"/>
        <family val="0"/>
        <charset val="1"/>
      </rPr>
      <t xml:space="preserve">weak-link </t>
    </r>
    <r>
      <rPr>
        <sz val="10"/>
        <rFont val="Noto Sans CJK SC"/>
        <family val="2"/>
      </rPr>
      <t xml:space="preserve">与 </t>
    </r>
    <r>
      <rPr>
        <sz val="10"/>
        <rFont val="Arial"/>
        <family val="0"/>
        <charset val="1"/>
      </rPr>
      <t xml:space="preserve">notching </t>
    </r>
    <r>
      <rPr>
        <sz val="10"/>
        <rFont val="Noto Sans CJK SC"/>
        <family val="2"/>
      </rPr>
      <t xml:space="preserve">属于 </t>
    </r>
    <r>
      <rPr>
        <sz val="10"/>
        <rFont val="Arial"/>
        <family val="0"/>
        <charset val="1"/>
      </rPr>
      <t xml:space="preserve">sector criteria </t>
    </r>
    <r>
      <rPr>
        <sz val="10"/>
        <rFont val="Noto Sans CJK SC"/>
        <family val="2"/>
      </rPr>
      <t xml:space="preserve">的自主空间。</t>
    </r>
  </si>
  <si>
    <t xml:space="preserve">无问题。</t>
  </si>
  <si>
    <r>
      <rPr>
        <sz val="10"/>
        <rFont val="Arial"/>
        <family val="0"/>
        <charset val="1"/>
      </rPr>
      <t xml:space="preserve">Country risk </t>
    </r>
    <r>
      <rPr>
        <sz val="10"/>
        <rFont val="Noto Sans CJK SC"/>
        <family val="2"/>
      </rPr>
      <t xml:space="preserve">模块</t>
    </r>
  </si>
  <si>
    <r>
      <rPr>
        <sz val="10"/>
        <rFont val="Arial"/>
        <family val="0"/>
        <charset val="1"/>
      </rPr>
      <t xml:space="preserve">5% </t>
    </r>
    <r>
      <rPr>
        <sz val="10"/>
        <rFont val="Noto Sans CJK SC"/>
        <family val="2"/>
      </rPr>
      <t xml:space="preserve">增量 </t>
    </r>
    <r>
      <rPr>
        <sz val="10"/>
        <rFont val="Arial"/>
        <family val="0"/>
        <charset val="1"/>
      </rPr>
      <t xml:space="preserve">rounding</t>
    </r>
    <r>
      <rPr>
        <sz val="10"/>
        <rFont val="Noto Sans CJK SC"/>
        <family val="2"/>
      </rPr>
      <t xml:space="preserve">；</t>
    </r>
    <r>
      <rPr>
        <sz val="10"/>
        <rFont val="Arial"/>
        <family val="0"/>
        <charset val="1"/>
      </rPr>
      <t xml:space="preserve">Region / Weight / Calculated Risk Score</t>
    </r>
    <r>
      <rPr>
        <sz val="10"/>
        <rFont val="Noto Sans CJK SC"/>
        <family val="2"/>
      </rPr>
      <t xml:space="preserve">；</t>
    </r>
    <r>
      <rPr>
        <sz val="10"/>
        <rFont val="Arial"/>
        <family val="0"/>
        <charset val="1"/>
      </rPr>
      <t xml:space="preserve">Model derived Country Risk</t>
    </r>
    <r>
      <rPr>
        <sz val="10"/>
        <rFont val="Noto Sans CJK SC"/>
        <family val="2"/>
      </rPr>
      <t xml:space="preserve">；</t>
    </r>
    <r>
      <rPr>
        <sz val="10"/>
        <rFont val="Arial"/>
        <family val="0"/>
        <charset val="1"/>
      </rPr>
      <t xml:space="preserve">notching </t>
    </r>
    <r>
      <rPr>
        <sz val="10"/>
        <rFont val="Noto Sans CJK SC"/>
        <family val="2"/>
      </rPr>
      <t xml:space="preserve">字段。</t>
    </r>
  </si>
  <si>
    <t xml:space="preserve">模型实现</t>
  </si>
  <si>
    <r>
      <rPr>
        <sz val="10"/>
        <rFont val="Arial"/>
        <family val="0"/>
        <charset val="1"/>
      </rPr>
      <t xml:space="preserve">5% rounding </t>
    </r>
    <r>
      <rPr>
        <sz val="10"/>
        <rFont val="Noto Sans CJK SC"/>
        <family val="2"/>
      </rPr>
      <t xml:space="preserve">删除；</t>
    </r>
    <r>
      <rPr>
        <sz val="10"/>
        <rFont val="Arial"/>
        <family val="0"/>
        <charset val="1"/>
      </rPr>
      <t xml:space="preserve">notching </t>
    </r>
    <r>
      <rPr>
        <sz val="10"/>
        <rFont val="Noto Sans CJK SC"/>
        <family val="2"/>
      </rPr>
      <t xml:space="preserve">字段新增。</t>
    </r>
  </si>
  <si>
    <r>
      <rPr>
        <sz val="10"/>
        <rFont val="Noto Sans CJK SC"/>
        <family val="2"/>
      </rPr>
      <t xml:space="preserve">确认 </t>
    </r>
    <r>
      <rPr>
        <sz val="10"/>
        <rFont val="Arial"/>
        <family val="0"/>
        <charset val="1"/>
      </rPr>
      <t xml:space="preserve">CCST </t>
    </r>
    <r>
      <rPr>
        <sz val="10"/>
        <rFont val="Noto Sans CJK SC"/>
        <family val="2"/>
      </rPr>
      <t xml:space="preserve">变更的 </t>
    </r>
    <r>
      <rPr>
        <sz val="10"/>
        <rFont val="Arial"/>
        <family val="0"/>
        <charset val="1"/>
      </rPr>
      <t xml:space="preserve">model validation </t>
    </r>
    <r>
      <rPr>
        <sz val="10"/>
        <rFont val="Noto Sans CJK SC"/>
        <family val="2"/>
      </rPr>
      <t xml:space="preserve">归属；确认 </t>
    </r>
    <r>
      <rPr>
        <sz val="10"/>
        <rFont val="Arial"/>
        <family val="0"/>
        <charset val="1"/>
      </rPr>
      <t xml:space="preserve">integer rounding </t>
    </r>
    <r>
      <rPr>
        <sz val="10"/>
        <rFont val="Noto Sans CJK SC"/>
        <family val="2"/>
      </rPr>
      <t xml:space="preserve">规则。</t>
    </r>
  </si>
  <si>
    <t xml:space="preserve">Model</t>
  </si>
  <si>
    <r>
      <rPr>
        <b val="true"/>
        <sz val="13"/>
        <rFont val="Noto Sans CJK SC"/>
        <family val="2"/>
      </rPr>
      <t xml:space="preserve">题 </t>
    </r>
    <r>
      <rPr>
        <b val="true"/>
        <sz val="13"/>
        <rFont val="Arial"/>
        <family val="0"/>
        <charset val="1"/>
      </rPr>
      <t xml:space="preserve">6 — Scenario analysis</t>
    </r>
    <r>
      <rPr>
        <b val="true"/>
        <sz val="13"/>
        <rFont val="Noto Sans CJK SC"/>
        <family val="2"/>
      </rPr>
      <t xml:space="preserve">（</t>
    </r>
    <r>
      <rPr>
        <b val="true"/>
        <sz val="13"/>
        <rFont val="Arial"/>
        <family val="0"/>
        <charset val="1"/>
      </rPr>
      <t xml:space="preserve">Gregoire step 1–2</t>
    </r>
    <r>
      <rPr>
        <b val="true"/>
        <sz val="13"/>
        <rFont val="Noto Sans CJK SC"/>
        <family val="2"/>
      </rPr>
      <t xml:space="preserve">）</t>
    </r>
  </si>
  <si>
    <r>
      <rPr>
        <i val="true"/>
        <sz val="9"/>
        <color rgb="FF555555"/>
        <rFont val="Noto Sans CJK SC"/>
        <family val="2"/>
      </rPr>
      <t xml:space="preserve">对每个 </t>
    </r>
    <r>
      <rPr>
        <i val="true"/>
        <sz val="9"/>
        <color rgb="FF555555"/>
        <rFont val="Arial"/>
        <family val="0"/>
        <charset val="1"/>
      </rPr>
      <t xml:space="preserve">scenario </t>
    </r>
    <r>
      <rPr>
        <i val="true"/>
        <sz val="9"/>
        <color rgb="FF555555"/>
        <rFont val="Noto Sans CJK SC"/>
        <family val="2"/>
      </rPr>
      <t xml:space="preserve">回答：能否接受？发生概率多大？需要什么证据？</t>
    </r>
  </si>
  <si>
    <t xml:space="preserve">S#</t>
  </si>
  <si>
    <t xml:space="preserve">Scenario</t>
  </si>
  <si>
    <t xml:space="preserve">触发机制</t>
  </si>
  <si>
    <t xml:space="preserve">可能结果</t>
  </si>
  <si>
    <r>
      <rPr>
        <b val="true"/>
        <sz val="10"/>
        <color rgb="FFFFFFFF"/>
        <rFont val="Noto Sans CJK SC"/>
        <family val="2"/>
      </rPr>
      <t xml:space="preserve">可接受性（</t>
    </r>
    <r>
      <rPr>
        <b val="true"/>
        <sz val="10"/>
        <color rgb="FFFFFFFF"/>
        <rFont val="Arial"/>
        <family val="0"/>
        <charset val="1"/>
      </rPr>
      <t xml:space="preserve">AQV </t>
    </r>
    <r>
      <rPr>
        <b val="true"/>
        <sz val="10"/>
        <color rgb="FFFFFFFF"/>
        <rFont val="Noto Sans CJK SC"/>
        <family val="2"/>
      </rPr>
      <t xml:space="preserve">推理）</t>
    </r>
  </si>
  <si>
    <t xml:space="preserve">发生概率评估</t>
  </si>
  <si>
    <t xml:space="preserve">需要的证据</t>
  </si>
  <si>
    <t xml:space="preserve">S1</t>
  </si>
  <si>
    <r>
      <rPr>
        <sz val="10"/>
        <rFont val="Noto Sans CJK SC"/>
        <family val="2"/>
      </rPr>
      <t xml:space="preserve">小 </t>
    </r>
    <r>
      <rPr>
        <sz val="10"/>
        <rFont val="Arial"/>
        <family val="0"/>
        <charset val="1"/>
      </rPr>
      <t xml:space="preserve">exposure </t>
    </r>
    <r>
      <rPr>
        <sz val="10"/>
        <rFont val="Noto Sans CJK SC"/>
        <family val="2"/>
      </rPr>
      <t xml:space="preserve">纳入 </t>
    </r>
    <r>
      <rPr>
        <sz val="10"/>
        <rFont val="Arial"/>
        <family val="0"/>
        <charset val="1"/>
      </rPr>
      <t xml:space="preserve">weighted average</t>
    </r>
  </si>
  <si>
    <r>
      <rPr>
        <sz val="10"/>
        <rFont val="Noto Sans CJK SC"/>
        <family val="2"/>
      </rPr>
      <t xml:space="preserve">现行只计 </t>
    </r>
    <r>
      <rPr>
        <sz val="10"/>
        <rFont val="Arial"/>
        <family val="0"/>
        <charset val="1"/>
      </rPr>
      <t xml:space="preserve">&gt;5% </t>
    </r>
    <r>
      <rPr>
        <sz val="10"/>
        <rFont val="Noto Sans CJK SC"/>
        <family val="2"/>
      </rPr>
      <t xml:space="preserve">的国家且权重 </t>
    </r>
    <r>
      <rPr>
        <sz val="10"/>
        <rFont val="Arial"/>
        <family val="0"/>
        <charset val="1"/>
      </rPr>
      <t xml:space="preserve">round </t>
    </r>
    <r>
      <rPr>
        <sz val="10"/>
        <rFont val="Noto Sans CJK SC"/>
        <family val="2"/>
      </rPr>
      <t xml:space="preserve">到 </t>
    </r>
    <r>
      <rPr>
        <sz val="10"/>
        <rFont val="Arial"/>
        <family val="0"/>
        <charset val="1"/>
      </rPr>
      <t xml:space="preserve">5%</t>
    </r>
    <r>
      <rPr>
        <sz val="10"/>
        <rFont val="Noto Sans CJK SC"/>
        <family val="2"/>
      </rPr>
      <t xml:space="preserve">；新规则纳入全部 </t>
    </r>
    <r>
      <rPr>
        <sz val="10"/>
        <rFont val="Arial"/>
        <family val="0"/>
        <charset val="1"/>
      </rPr>
      <t xml:space="preserve">exposure</t>
    </r>
    <r>
      <rPr>
        <sz val="10"/>
        <rFont val="Noto Sans CJK SC"/>
        <family val="2"/>
      </rPr>
      <t xml:space="preserve">。</t>
    </r>
  </si>
  <si>
    <r>
      <rPr>
        <sz val="10"/>
        <rFont val="Noto Sans CJK SC"/>
        <family val="2"/>
      </rPr>
      <t xml:space="preserve">含高风险国家小 </t>
    </r>
    <r>
      <rPr>
        <sz val="10"/>
        <rFont val="Arial"/>
        <family val="0"/>
        <charset val="1"/>
      </rPr>
      <t xml:space="preserve">exposure </t>
    </r>
    <r>
      <rPr>
        <sz val="10"/>
        <rFont val="Noto Sans CJK SC"/>
        <family val="2"/>
      </rPr>
      <t xml:space="preserve">的公司 </t>
    </r>
    <r>
      <rPr>
        <sz val="10"/>
        <rFont val="Arial"/>
        <family val="0"/>
        <charset val="1"/>
      </rPr>
      <t xml:space="preserve">weighted average </t>
    </r>
    <r>
      <rPr>
        <sz val="10"/>
        <rFont val="Noto Sans CJK SC"/>
        <family val="2"/>
      </rPr>
      <t xml:space="preserve">上升；含低风险国家小 </t>
    </r>
    <r>
      <rPr>
        <sz val="10"/>
        <rFont val="Arial"/>
        <family val="0"/>
        <charset val="1"/>
      </rPr>
      <t xml:space="preserve">exposure </t>
    </r>
    <r>
      <rPr>
        <sz val="10"/>
        <rFont val="Noto Sans CJK SC"/>
        <family val="2"/>
      </rPr>
      <t xml:space="preserve">的公司下降；只有 </t>
    </r>
    <r>
      <rPr>
        <sz val="10"/>
        <rFont val="Arial"/>
        <family val="0"/>
        <charset val="1"/>
      </rPr>
      <t xml:space="preserve">weighted average </t>
    </r>
    <r>
      <rPr>
        <sz val="10"/>
        <rFont val="Noto Sans CJK SC"/>
        <family val="2"/>
      </rPr>
      <t xml:space="preserve">位于 </t>
    </r>
    <r>
      <rPr>
        <sz val="10"/>
        <rFont val="Arial"/>
        <family val="0"/>
        <charset val="1"/>
      </rPr>
      <t xml:space="preserve">x.5 </t>
    </r>
    <r>
      <rPr>
        <sz val="10"/>
        <rFont val="Noto Sans CJK SC"/>
        <family val="2"/>
      </rPr>
      <t xml:space="preserve">附近的 </t>
    </r>
    <r>
      <rPr>
        <sz val="10"/>
        <rFont val="Arial"/>
        <family val="0"/>
        <charset val="1"/>
      </rPr>
      <t xml:space="preserve">entity </t>
    </r>
    <r>
      <rPr>
        <sz val="10"/>
        <rFont val="Noto Sans CJK SC"/>
        <family val="2"/>
      </rPr>
      <t xml:space="preserve">会翻转 </t>
    </r>
    <r>
      <rPr>
        <sz val="10"/>
        <rFont val="Arial"/>
        <family val="0"/>
        <charset val="1"/>
      </rPr>
      <t xml:space="preserve">integer CR</t>
    </r>
    <r>
      <rPr>
        <sz val="10"/>
        <rFont val="Noto Sans CJK SC"/>
        <family val="2"/>
      </rPr>
      <t xml:space="preserve">。</t>
    </r>
  </si>
  <si>
    <r>
      <rPr>
        <sz val="10"/>
        <rFont val="Noto Sans CJK SC"/>
        <family val="2"/>
      </rPr>
      <t xml:space="preserve">方向正确（更真实反映 </t>
    </r>
    <r>
      <rPr>
        <sz val="10"/>
        <rFont val="Arial"/>
        <family val="0"/>
        <charset val="1"/>
      </rPr>
      <t xml:space="preserve">exposure</t>
    </r>
    <r>
      <rPr>
        <sz val="10"/>
        <rFont val="Noto Sans CJK SC"/>
        <family val="2"/>
      </rPr>
      <t xml:space="preserve">），幅度有界：单个 </t>
    </r>
    <r>
      <rPr>
        <sz val="10"/>
        <rFont val="Arial"/>
        <family val="0"/>
        <charset val="1"/>
      </rPr>
      <t xml:space="preserve">5% </t>
    </r>
    <r>
      <rPr>
        <sz val="10"/>
        <rFont val="Noto Sans CJK SC"/>
        <family val="2"/>
      </rPr>
      <t xml:space="preserve">的 </t>
    </r>
    <r>
      <rPr>
        <sz val="10"/>
        <rFont val="Arial"/>
        <family val="0"/>
        <charset val="1"/>
      </rPr>
      <t xml:space="preserve">CR-6 exposure </t>
    </r>
    <r>
      <rPr>
        <sz val="10"/>
        <rFont val="Noto Sans CJK SC"/>
        <family val="2"/>
      </rPr>
      <t xml:space="preserve">相对 </t>
    </r>
    <r>
      <rPr>
        <sz val="10"/>
        <rFont val="Arial"/>
        <family val="0"/>
        <charset val="1"/>
      </rPr>
      <t xml:space="preserve">CR-1 </t>
    </r>
    <r>
      <rPr>
        <sz val="10"/>
        <rFont val="Noto Sans CJK SC"/>
        <family val="2"/>
      </rPr>
      <t xml:space="preserve">最多推动 </t>
    </r>
    <r>
      <rPr>
        <sz val="10"/>
        <rFont val="Arial"/>
        <family val="0"/>
        <charset val="1"/>
      </rPr>
      <t xml:space="preserve">0.25</t>
    </r>
    <r>
      <rPr>
        <sz val="10"/>
        <rFont val="Noto Sans CJK SC"/>
        <family val="2"/>
      </rPr>
      <t xml:space="preserve">；多个小 </t>
    </r>
    <r>
      <rPr>
        <sz val="10"/>
        <rFont val="Arial"/>
        <family val="0"/>
        <charset val="1"/>
      </rPr>
      <t xml:space="preserve">exposure </t>
    </r>
    <r>
      <rPr>
        <sz val="10"/>
        <rFont val="Noto Sans CJK SC"/>
        <family val="2"/>
      </rPr>
      <t xml:space="preserve">可叠加但总权重有限；</t>
    </r>
    <r>
      <rPr>
        <sz val="10"/>
        <rFont val="Arial"/>
        <family val="0"/>
        <charset val="1"/>
      </rPr>
      <t xml:space="preserve">integer rounding </t>
    </r>
    <r>
      <rPr>
        <sz val="10"/>
        <rFont val="Noto Sans CJK SC"/>
        <family val="2"/>
      </rPr>
      <t xml:space="preserve">吸收大部分变动。可接受。</t>
    </r>
  </si>
  <si>
    <r>
      <rPr>
        <sz val="10"/>
        <rFont val="Noto Sans CJK SC"/>
        <family val="2"/>
      </rPr>
      <t xml:space="preserve">取决于边界区 </t>
    </r>
    <r>
      <rPr>
        <sz val="10"/>
        <rFont val="Arial"/>
        <family val="0"/>
        <charset val="1"/>
      </rPr>
      <t xml:space="preserve">entity </t>
    </r>
    <r>
      <rPr>
        <sz val="10"/>
        <rFont val="Noto Sans CJK SC"/>
        <family val="2"/>
      </rPr>
      <t xml:space="preserve">数量；</t>
    </r>
    <r>
      <rPr>
        <sz val="10"/>
        <rFont val="Arial"/>
        <family val="0"/>
        <charset val="1"/>
      </rPr>
      <t xml:space="preserve">CR 1–3 </t>
    </r>
    <r>
      <rPr>
        <sz val="10"/>
        <rFont val="Noto Sans CJK SC"/>
        <family val="2"/>
      </rPr>
      <t xml:space="preserve">区间内的翻转对 </t>
    </r>
    <r>
      <rPr>
        <sz val="10"/>
        <rFont val="Arial"/>
        <family val="0"/>
        <charset val="1"/>
      </rPr>
      <t xml:space="preserve">CICRA </t>
    </r>
    <r>
      <rPr>
        <sz val="10"/>
        <rFont val="Noto Sans CJK SC"/>
        <family val="2"/>
      </rPr>
      <t xml:space="preserve">中性，只有跨 </t>
    </r>
    <r>
      <rPr>
        <sz val="10"/>
        <rFont val="Arial"/>
        <family val="0"/>
        <charset val="1"/>
      </rPr>
      <t xml:space="preserve">3/4</t>
    </r>
    <r>
      <rPr>
        <sz val="10"/>
        <rFont val="Noto Sans CJK SC"/>
        <family val="2"/>
      </rPr>
      <t xml:space="preserve">、</t>
    </r>
    <r>
      <rPr>
        <sz val="10"/>
        <rFont val="Arial"/>
        <family val="0"/>
        <charset val="1"/>
      </rPr>
      <t xml:space="preserve">4/5</t>
    </r>
    <r>
      <rPr>
        <sz val="10"/>
        <rFont val="Noto Sans CJK SC"/>
        <family val="2"/>
      </rPr>
      <t xml:space="preserve">、</t>
    </r>
    <r>
      <rPr>
        <sz val="10"/>
        <rFont val="Arial"/>
        <family val="0"/>
        <charset val="1"/>
      </rPr>
      <t xml:space="preserve">5/6 </t>
    </r>
    <r>
      <rPr>
        <sz val="10"/>
        <rFont val="Noto Sans CJK SC"/>
        <family val="2"/>
      </rPr>
      <t xml:space="preserve">边界才有 </t>
    </r>
    <r>
      <rPr>
        <sz val="10"/>
        <rFont val="Arial"/>
        <family val="0"/>
        <charset val="1"/>
      </rPr>
      <t xml:space="preserve">rating </t>
    </r>
    <r>
      <rPr>
        <sz val="10"/>
        <rFont val="Noto Sans CJK SC"/>
        <family val="2"/>
      </rPr>
      <t xml:space="preserve">意义。</t>
    </r>
  </si>
  <si>
    <r>
      <rPr>
        <sz val="10"/>
        <rFont val="Arial"/>
        <family val="0"/>
        <charset val="1"/>
      </rPr>
      <t xml:space="preserve">C.17</t>
    </r>
    <r>
      <rPr>
        <sz val="10"/>
        <rFont val="Noto Sans CJK SC"/>
        <family val="2"/>
      </rPr>
      <t xml:space="preserve">：</t>
    </r>
    <r>
      <rPr>
        <sz val="10"/>
        <rFont val="Arial"/>
        <family val="0"/>
        <charset val="1"/>
      </rPr>
      <t xml:space="preserve">weighted average </t>
    </r>
    <r>
      <rPr>
        <sz val="10"/>
        <rFont val="Noto Sans CJK SC"/>
        <family val="2"/>
      </rPr>
      <t xml:space="preserve">落在 </t>
    </r>
    <r>
      <rPr>
        <sz val="10"/>
        <rFont val="Arial"/>
        <family val="0"/>
        <charset val="1"/>
      </rPr>
      <t xml:space="preserve">3.3–3.7 / 4.3–4.7 / 5.3–5.7 </t>
    </r>
    <r>
      <rPr>
        <sz val="10"/>
        <rFont val="Noto Sans CJK SC"/>
        <family val="2"/>
      </rPr>
      <t xml:space="preserve">的 </t>
    </r>
    <r>
      <rPr>
        <sz val="10"/>
        <rFont val="Arial"/>
        <family val="0"/>
        <charset val="1"/>
      </rPr>
      <t xml:space="preserve">entity </t>
    </r>
    <r>
      <rPr>
        <sz val="10"/>
        <rFont val="Noto Sans CJK SC"/>
        <family val="2"/>
      </rPr>
      <t xml:space="preserve">数；</t>
    </r>
    <r>
      <rPr>
        <sz val="10"/>
        <rFont val="Arial"/>
        <family val="0"/>
        <charset val="1"/>
      </rPr>
      <t xml:space="preserve">testing </t>
    </r>
    <r>
      <rPr>
        <sz val="10"/>
        <rFont val="Noto Sans CJK SC"/>
        <family val="2"/>
      </rPr>
      <t xml:space="preserve">输出中 </t>
    </r>
    <r>
      <rPr>
        <sz val="10"/>
        <rFont val="Arial"/>
        <family val="0"/>
        <charset val="1"/>
      </rPr>
      <t xml:space="preserve">integer CR </t>
    </r>
    <r>
      <rPr>
        <sz val="10"/>
        <rFont val="Noto Sans CJK SC"/>
        <family val="2"/>
      </rPr>
      <t xml:space="preserve">变动数。</t>
    </r>
  </si>
  <si>
    <r>
      <rPr>
        <sz val="10"/>
        <rFont val="Arial"/>
        <family val="0"/>
        <charset val="1"/>
      </rPr>
      <t xml:space="preserve">Acceptable</t>
    </r>
    <r>
      <rPr>
        <sz val="10"/>
        <rFont val="Noto Sans CJK SC"/>
        <family val="2"/>
      </rPr>
      <t xml:space="preserve">；需数据确认翻转数量与方向。</t>
    </r>
  </si>
  <si>
    <t xml:space="preserve">部分</t>
  </si>
  <si>
    <t xml:space="preserve">S2</t>
  </si>
  <si>
    <r>
      <rPr>
        <sz val="10"/>
        <rFont val="Arial"/>
        <family val="0"/>
        <charset val="1"/>
      </rPr>
      <t xml:space="preserve">para 49 diversity adjustment </t>
    </r>
    <r>
      <rPr>
        <sz val="10"/>
        <rFont val="Noto Sans CJK SC"/>
        <family val="2"/>
      </rPr>
      <t xml:space="preserve">使用者失去 </t>
    </r>
    <r>
      <rPr>
        <sz val="10"/>
        <rFont val="Arial"/>
        <family val="0"/>
        <charset val="1"/>
      </rPr>
      <t xml:space="preserve">+1</t>
    </r>
  </si>
  <si>
    <r>
      <rPr>
        <sz val="10"/>
        <rFont val="Arial"/>
        <family val="0"/>
        <charset val="1"/>
      </rPr>
      <t xml:space="preserve">paras 48–51 </t>
    </r>
    <r>
      <rPr>
        <sz val="10"/>
        <rFont val="Noto Sans CJK SC"/>
        <family val="2"/>
      </rPr>
      <t xml:space="preserve">删除。</t>
    </r>
  </si>
  <si>
    <r>
      <rPr>
        <sz val="10"/>
        <rFont val="Arial"/>
        <family val="0"/>
        <charset val="1"/>
      </rPr>
      <t xml:space="preserve">9 </t>
    </r>
    <r>
      <rPr>
        <sz val="10"/>
        <rFont val="Noto Sans CJK SC"/>
        <family val="2"/>
      </rPr>
      <t xml:space="preserve">个 </t>
    </r>
    <r>
      <rPr>
        <sz val="10"/>
        <rFont val="Arial"/>
        <family val="0"/>
        <charset val="1"/>
      </rPr>
      <t xml:space="preserve">entity </t>
    </r>
    <r>
      <rPr>
        <sz val="10"/>
        <rFont val="Noto Sans CJK SC"/>
        <family val="2"/>
      </rPr>
      <t xml:space="preserve">的 </t>
    </r>
    <r>
      <rPr>
        <sz val="10"/>
        <rFont val="Arial"/>
        <family val="0"/>
        <charset val="1"/>
      </rPr>
      <t xml:space="preserve">CR </t>
    </r>
    <r>
      <rPr>
        <sz val="10"/>
        <rFont val="Noto Sans CJK SC"/>
        <family val="2"/>
      </rPr>
      <t xml:space="preserve">恶化 </t>
    </r>
    <r>
      <rPr>
        <sz val="10"/>
        <rFont val="Arial"/>
        <family val="0"/>
        <charset val="1"/>
      </rPr>
      <t xml:space="preserve">1 </t>
    </r>
    <r>
      <rPr>
        <sz val="10"/>
        <rFont val="Noto Sans CJK SC"/>
        <family val="2"/>
      </rPr>
      <t xml:space="preserve">个 </t>
    </r>
    <r>
      <rPr>
        <sz val="10"/>
        <rFont val="Arial"/>
        <family val="0"/>
        <charset val="1"/>
      </rPr>
      <t xml:space="preserve">category</t>
    </r>
    <r>
      <rPr>
        <sz val="10"/>
        <rFont val="Noto Sans CJK SC"/>
        <family val="2"/>
      </rPr>
      <t xml:space="preserve">；</t>
    </r>
    <r>
      <rPr>
        <sz val="10"/>
        <rFont val="Arial"/>
        <family val="0"/>
        <charset val="1"/>
      </rPr>
      <t xml:space="preserve">squad </t>
    </r>
    <r>
      <rPr>
        <sz val="10"/>
        <rFont val="Noto Sans CJK SC"/>
        <family val="2"/>
      </rPr>
      <t xml:space="preserve">称 </t>
    </r>
    <r>
      <rPr>
        <sz val="10"/>
        <rFont val="Arial"/>
        <family val="0"/>
        <charset val="1"/>
      </rPr>
      <t xml:space="preserve">2 </t>
    </r>
    <r>
      <rPr>
        <sz val="10"/>
        <rFont val="Noto Sans CJK SC"/>
        <family val="2"/>
      </rPr>
      <t xml:space="preserve">个 </t>
    </r>
    <r>
      <rPr>
        <sz val="10"/>
        <rFont val="Arial"/>
        <family val="0"/>
        <charset val="1"/>
      </rPr>
      <t xml:space="preserve">CICRA </t>
    </r>
    <r>
      <rPr>
        <sz val="10"/>
        <rFont val="Noto Sans CJK SC"/>
        <family val="2"/>
      </rPr>
      <t xml:space="preserve">变、</t>
    </r>
    <r>
      <rPr>
        <sz val="10"/>
        <rFont val="Arial"/>
        <family val="0"/>
        <charset val="1"/>
      </rPr>
      <t xml:space="preserve">0 </t>
    </r>
    <r>
      <rPr>
        <sz val="10"/>
        <rFont val="Noto Sans CJK SC"/>
        <family val="2"/>
      </rPr>
      <t xml:space="preserve">个 </t>
    </r>
    <r>
      <rPr>
        <sz val="10"/>
        <rFont val="Arial"/>
        <family val="0"/>
        <charset val="1"/>
      </rPr>
      <t xml:space="preserve">BRP / rating </t>
    </r>
    <r>
      <rPr>
        <sz val="10"/>
        <rFont val="Noto Sans CJK SC"/>
        <family val="2"/>
      </rPr>
      <t xml:space="preserve">变。</t>
    </r>
  </si>
  <si>
    <r>
      <rPr>
        <sz val="10"/>
        <rFont val="Noto Sans CJK SC"/>
        <family val="2"/>
      </rPr>
      <t xml:space="preserve">现行 </t>
    </r>
    <r>
      <rPr>
        <sz val="10"/>
        <rFont val="Arial"/>
        <family val="0"/>
        <charset val="1"/>
      </rPr>
      <t xml:space="preserve">uplift </t>
    </r>
    <r>
      <rPr>
        <sz val="10"/>
        <rFont val="Noto Sans CJK SC"/>
        <family val="2"/>
      </rPr>
      <t xml:space="preserve">是 </t>
    </r>
    <r>
      <rPr>
        <sz val="10"/>
        <rFont val="Arial"/>
        <family val="0"/>
        <charset val="1"/>
      </rPr>
      <t xml:space="preserve">rule-based</t>
    </r>
    <r>
      <rPr>
        <sz val="10"/>
        <rFont val="Noto Sans CJK SC"/>
        <family val="2"/>
      </rPr>
      <t xml:space="preserve">，删除后 </t>
    </r>
    <r>
      <rPr>
        <sz val="10"/>
        <rFont val="Arial"/>
        <family val="0"/>
        <charset val="1"/>
      </rPr>
      <t xml:space="preserve">diversity </t>
    </r>
    <r>
      <rPr>
        <sz val="10"/>
        <rFont val="Noto Sans CJK SC"/>
        <family val="2"/>
      </rPr>
      <t xml:space="preserve">由 </t>
    </r>
    <r>
      <rPr>
        <sz val="10"/>
        <rFont val="Arial"/>
        <family val="0"/>
        <charset val="1"/>
      </rPr>
      <t xml:space="preserve">S/S/D </t>
    </r>
    <r>
      <rPr>
        <sz val="10"/>
        <rFont val="Noto Sans CJK SC"/>
        <family val="2"/>
      </rPr>
      <t xml:space="preserve">承接。</t>
    </r>
    <r>
      <rPr>
        <sz val="10"/>
        <rFont val="Arial"/>
        <family val="0"/>
        <charset val="1"/>
      </rPr>
      <t xml:space="preserve">CICRA </t>
    </r>
    <r>
      <rPr>
        <sz val="10"/>
        <rFont val="Noto Sans CJK SC"/>
        <family val="2"/>
      </rPr>
      <t xml:space="preserve">变而 </t>
    </r>
    <r>
      <rPr>
        <sz val="10"/>
        <rFont val="Arial"/>
        <family val="0"/>
        <charset val="1"/>
      </rPr>
      <t xml:space="preserve">BRP </t>
    </r>
    <r>
      <rPr>
        <sz val="10"/>
        <rFont val="Noto Sans CJK SC"/>
        <family val="2"/>
      </rPr>
      <t xml:space="preserve">不变在 </t>
    </r>
    <r>
      <rPr>
        <sz val="10"/>
        <rFont val="Arial"/>
        <family val="0"/>
        <charset val="1"/>
      </rPr>
      <t xml:space="preserve">Table 2 </t>
    </r>
    <r>
      <rPr>
        <sz val="10"/>
        <rFont val="Noto Sans CJK SC"/>
        <family val="2"/>
      </rPr>
      <t xml:space="preserve">中是可能的（例如 </t>
    </r>
    <r>
      <rPr>
        <sz val="10"/>
        <rFont val="Arial"/>
        <family val="0"/>
        <charset val="1"/>
      </rPr>
      <t xml:space="preserve">CP 2 </t>
    </r>
    <r>
      <rPr>
        <sz val="10"/>
        <rFont val="Noto Sans CJK SC"/>
        <family val="2"/>
      </rPr>
      <t xml:space="preserve">且 </t>
    </r>
    <r>
      <rPr>
        <sz val="10"/>
        <rFont val="Arial"/>
        <family val="0"/>
        <charset val="1"/>
      </rPr>
      <t xml:space="preserve">CICRA 2→3</t>
    </r>
    <r>
      <rPr>
        <sz val="10"/>
        <rFont val="Noto Sans CJK SC"/>
        <family val="2"/>
      </rPr>
      <t xml:space="preserve">）。可接受，前提是名单核实。</t>
    </r>
  </si>
  <si>
    <r>
      <rPr>
        <sz val="10"/>
        <rFont val="Noto Sans CJK SC"/>
        <family val="2"/>
      </rPr>
      <t xml:space="preserve">已知 </t>
    </r>
    <r>
      <rPr>
        <sz val="10"/>
        <rFont val="Arial"/>
        <family val="0"/>
        <charset val="1"/>
      </rPr>
      <t xml:space="preserve">9 </t>
    </r>
    <r>
      <rPr>
        <sz val="10"/>
        <rFont val="Noto Sans CJK SC"/>
        <family val="2"/>
      </rPr>
      <t xml:space="preserve">个；未来新 </t>
    </r>
    <r>
      <rPr>
        <sz val="10"/>
        <rFont val="Arial"/>
        <family val="0"/>
        <charset val="1"/>
      </rPr>
      <t xml:space="preserve">entity </t>
    </r>
    <r>
      <rPr>
        <sz val="10"/>
        <rFont val="Noto Sans CJK SC"/>
        <family val="2"/>
      </rPr>
      <t xml:space="preserve">失去该机制的概率无法量化。</t>
    </r>
  </si>
  <si>
    <r>
      <rPr>
        <sz val="10"/>
        <rFont val="Arial"/>
        <family val="0"/>
        <charset val="1"/>
      </rPr>
      <t xml:space="preserve">9 </t>
    </r>
    <r>
      <rPr>
        <sz val="10"/>
        <rFont val="Noto Sans CJK SC"/>
        <family val="2"/>
      </rPr>
      <t xml:space="preserve">个 </t>
    </r>
    <r>
      <rPr>
        <sz val="10"/>
        <rFont val="Arial"/>
        <family val="0"/>
        <charset val="1"/>
      </rPr>
      <t xml:space="preserve">entity </t>
    </r>
    <r>
      <rPr>
        <sz val="10"/>
        <rFont val="Noto Sans CJK SC"/>
        <family val="2"/>
      </rPr>
      <t xml:space="preserve">的名单与 </t>
    </r>
    <r>
      <rPr>
        <sz val="10"/>
        <rFont val="Arial"/>
        <family val="0"/>
        <charset val="1"/>
      </rPr>
      <t xml:space="preserve">preliminary / adjusted CR</t>
    </r>
    <r>
      <rPr>
        <sz val="10"/>
        <rFont val="Noto Sans CJK SC"/>
        <family val="2"/>
      </rPr>
      <t xml:space="preserve">；</t>
    </r>
    <r>
      <rPr>
        <sz val="10"/>
        <rFont val="Arial"/>
        <family val="0"/>
        <charset val="1"/>
      </rPr>
      <t xml:space="preserve">Table 2 </t>
    </r>
    <r>
      <rPr>
        <sz val="10"/>
        <rFont val="Noto Sans CJK SC"/>
        <family val="2"/>
      </rPr>
      <t xml:space="preserve">核对 </t>
    </r>
    <r>
      <rPr>
        <sz val="10"/>
        <rFont val="Arial"/>
        <family val="0"/>
        <charset val="1"/>
      </rPr>
      <t xml:space="preserve">BRP </t>
    </r>
    <r>
      <rPr>
        <sz val="10"/>
        <rFont val="Noto Sans CJK SC"/>
        <family val="2"/>
      </rPr>
      <t xml:space="preserve">不变的原因。</t>
    </r>
  </si>
  <si>
    <r>
      <rPr>
        <sz val="10"/>
        <rFont val="Arial"/>
        <family val="0"/>
        <charset val="1"/>
      </rPr>
      <t xml:space="preserve">Acceptable if verified</t>
    </r>
    <r>
      <rPr>
        <sz val="10"/>
        <rFont val="Noto Sans CJK SC"/>
        <family val="2"/>
      </rPr>
      <t xml:space="preserve">。</t>
    </r>
  </si>
  <si>
    <t xml:space="preserve">待数据</t>
  </si>
  <si>
    <t xml:space="preserve">S3</t>
  </si>
  <si>
    <r>
      <rPr>
        <sz val="10"/>
        <rFont val="Arial"/>
        <family val="0"/>
        <charset val="1"/>
      </rPr>
      <t xml:space="preserve">para 26 exception </t>
    </r>
    <r>
      <rPr>
        <sz val="10"/>
        <rFont val="Noto Sans CJK SC"/>
        <family val="2"/>
      </rPr>
      <t xml:space="preserve">删除</t>
    </r>
  </si>
  <si>
    <r>
      <rPr>
        <sz val="10"/>
        <rFont val="Arial"/>
        <family val="0"/>
        <charset val="1"/>
      </rPr>
      <t xml:space="preserve">Table 2 </t>
    </r>
    <r>
      <rPr>
        <sz val="10"/>
        <rFont val="Noto Sans CJK SC"/>
        <family val="2"/>
      </rPr>
      <t xml:space="preserve">脚注取消。</t>
    </r>
  </si>
  <si>
    <r>
      <rPr>
        <sz val="10"/>
        <rFont val="Arial"/>
        <family val="0"/>
        <charset val="1"/>
      </rPr>
      <t xml:space="preserve">2 </t>
    </r>
    <r>
      <rPr>
        <sz val="10"/>
        <rFont val="Noto Sans CJK SC"/>
        <family val="2"/>
      </rPr>
      <t xml:space="preserve">个 </t>
    </r>
    <r>
      <rPr>
        <sz val="10"/>
        <rFont val="Arial"/>
        <family val="0"/>
        <charset val="1"/>
      </rPr>
      <t xml:space="preserve">entity </t>
    </r>
    <r>
      <rPr>
        <sz val="10"/>
        <rFont val="Noto Sans CJK SC"/>
        <family val="2"/>
      </rPr>
      <t xml:space="preserve">的 </t>
    </r>
    <r>
      <rPr>
        <sz val="10"/>
        <rFont val="Arial"/>
        <family val="0"/>
        <charset val="1"/>
      </rPr>
      <t xml:space="preserve">BRP 2→3</t>
    </r>
    <r>
      <rPr>
        <sz val="10"/>
        <rFont val="Noto Sans CJK SC"/>
        <family val="2"/>
      </rPr>
      <t xml:space="preserve">，</t>
    </r>
    <r>
      <rPr>
        <sz val="10"/>
        <rFont val="Arial"/>
        <family val="0"/>
        <charset val="1"/>
      </rPr>
      <t xml:space="preserve">anchor </t>
    </r>
    <r>
      <rPr>
        <sz val="10"/>
        <rFont val="Noto Sans CJK SC"/>
        <family val="2"/>
      </rPr>
      <t xml:space="preserve">下降 </t>
    </r>
    <r>
      <rPr>
        <sz val="10"/>
        <rFont val="Arial"/>
        <family val="0"/>
        <charset val="1"/>
      </rPr>
      <t xml:space="preserve">1–2 notch</t>
    </r>
    <r>
      <rPr>
        <sz val="10"/>
        <rFont val="Noto Sans CJK SC"/>
        <family val="2"/>
      </rPr>
      <t xml:space="preserve">（</t>
    </r>
    <r>
      <rPr>
        <sz val="10"/>
        <rFont val="Arial"/>
        <family val="0"/>
        <charset val="1"/>
      </rPr>
      <t xml:space="preserve">Table 3</t>
    </r>
    <r>
      <rPr>
        <sz val="10"/>
        <rFont val="Noto Sans CJK SC"/>
        <family val="2"/>
      </rPr>
      <t xml:space="preserve">：</t>
    </r>
    <r>
      <rPr>
        <sz val="10"/>
        <rFont val="Arial"/>
        <family val="0"/>
        <charset val="1"/>
      </rPr>
      <t xml:space="preserve">BRP 2 vs 3 </t>
    </r>
    <r>
      <rPr>
        <sz val="10"/>
        <rFont val="Noto Sans CJK SC"/>
        <family val="2"/>
      </rPr>
      <t xml:space="preserve">同 </t>
    </r>
    <r>
      <rPr>
        <sz val="10"/>
        <rFont val="Arial"/>
        <family val="0"/>
        <charset val="1"/>
      </rPr>
      <t xml:space="preserve">FRP</t>
    </r>
    <r>
      <rPr>
        <sz val="10"/>
        <rFont val="Noto Sans CJK SC"/>
        <family val="2"/>
      </rPr>
      <t xml:space="preserve">），</t>
    </r>
    <r>
      <rPr>
        <sz val="10"/>
        <rFont val="Arial"/>
        <family val="0"/>
        <charset val="1"/>
      </rPr>
      <t xml:space="preserve">SACP </t>
    </r>
    <r>
      <rPr>
        <sz val="10"/>
        <rFont val="Noto Sans CJK SC"/>
        <family val="2"/>
      </rPr>
      <t xml:space="preserve">下降；</t>
    </r>
    <r>
      <rPr>
        <sz val="10"/>
        <rFont val="Arial"/>
        <family val="0"/>
        <charset val="1"/>
      </rPr>
      <t xml:space="preserve">squad </t>
    </r>
    <r>
      <rPr>
        <sz val="10"/>
        <rFont val="Noto Sans CJK SC"/>
        <family val="2"/>
      </rPr>
      <t xml:space="preserve">称 </t>
    </r>
    <r>
      <rPr>
        <sz val="10"/>
        <rFont val="Arial"/>
        <family val="0"/>
        <charset val="1"/>
      </rPr>
      <t xml:space="preserve">ICR </t>
    </r>
    <r>
      <rPr>
        <sz val="10"/>
        <rFont val="Noto Sans CJK SC"/>
        <family val="2"/>
      </rPr>
      <t xml:space="preserve">因 </t>
    </r>
    <r>
      <rPr>
        <sz val="10"/>
        <rFont val="Arial"/>
        <family val="0"/>
        <charset val="1"/>
      </rPr>
      <t xml:space="preserve">parent / government support </t>
    </r>
    <r>
      <rPr>
        <sz val="10"/>
        <rFont val="Noto Sans CJK SC"/>
        <family val="2"/>
      </rPr>
      <t xml:space="preserve">不变。</t>
    </r>
  </si>
  <si>
    <r>
      <rPr>
        <sz val="10"/>
        <rFont val="Arial"/>
        <family val="0"/>
        <charset val="1"/>
      </rPr>
      <t xml:space="preserve">ICR </t>
    </r>
    <r>
      <rPr>
        <sz val="10"/>
        <rFont val="Noto Sans CJK SC"/>
        <family val="2"/>
      </rPr>
      <t xml:space="preserve">不变依赖 </t>
    </r>
    <r>
      <rPr>
        <sz val="10"/>
        <rFont val="Arial"/>
        <family val="0"/>
        <charset val="1"/>
      </rPr>
      <t xml:space="preserve">GRE </t>
    </r>
    <r>
      <rPr>
        <sz val="10"/>
        <rFont val="Noto Sans CJK SC"/>
        <family val="2"/>
      </rPr>
      <t xml:space="preserve">或 </t>
    </r>
    <r>
      <rPr>
        <sz val="10"/>
        <rFont val="Arial"/>
        <family val="0"/>
        <charset val="1"/>
      </rPr>
      <t xml:space="preserve">group </t>
    </r>
    <r>
      <rPr>
        <sz val="10"/>
        <rFont val="Noto Sans CJK SC"/>
        <family val="2"/>
      </rPr>
      <t xml:space="preserve">方法下 </t>
    </r>
    <r>
      <rPr>
        <sz val="10"/>
        <rFont val="Arial"/>
        <family val="0"/>
        <charset val="1"/>
      </rPr>
      <t xml:space="preserve">support likelihood </t>
    </r>
    <r>
      <rPr>
        <sz val="10"/>
        <rFont val="Noto Sans CJK SC"/>
        <family val="2"/>
      </rPr>
      <t xml:space="preserve">足够高（</t>
    </r>
    <r>
      <rPr>
        <sz val="10"/>
        <rFont val="Arial"/>
        <family val="0"/>
        <charset val="1"/>
      </rPr>
      <t xml:space="preserve">ICR </t>
    </r>
    <r>
      <rPr>
        <sz val="10"/>
        <rFont val="Noto Sans CJK SC"/>
        <family val="2"/>
      </rPr>
      <t xml:space="preserve">与 </t>
    </r>
    <r>
      <rPr>
        <sz val="10"/>
        <rFont val="Arial"/>
        <family val="0"/>
        <charset val="1"/>
      </rPr>
      <t xml:space="preserve">government / parent rating </t>
    </r>
    <r>
      <rPr>
        <sz val="10"/>
        <rFont val="Noto Sans CJK SC"/>
        <family val="2"/>
      </rPr>
      <t xml:space="preserve">挂钩）；若 </t>
    </r>
    <r>
      <rPr>
        <sz val="10"/>
        <rFont val="Arial"/>
        <family val="0"/>
        <charset val="1"/>
      </rPr>
      <t xml:space="preserve">likelihood </t>
    </r>
    <r>
      <rPr>
        <sz val="10"/>
        <rFont val="Noto Sans CJK SC"/>
        <family val="2"/>
      </rPr>
      <t xml:space="preserve">较低，</t>
    </r>
    <r>
      <rPr>
        <sz val="10"/>
        <rFont val="Arial"/>
        <family val="0"/>
        <charset val="1"/>
      </rPr>
      <t xml:space="preserve">ICR </t>
    </r>
    <r>
      <rPr>
        <sz val="10"/>
        <rFont val="Noto Sans CJK SC"/>
        <family val="2"/>
      </rPr>
      <t xml:space="preserve">可能随 </t>
    </r>
    <r>
      <rPr>
        <sz val="10"/>
        <rFont val="Arial"/>
        <family val="0"/>
        <charset val="1"/>
      </rPr>
      <t xml:space="preserve">SACP </t>
    </r>
    <r>
      <rPr>
        <sz val="10"/>
        <rFont val="Noto Sans CJK SC"/>
        <family val="2"/>
      </rPr>
      <t xml:space="preserve">下降。此外两个名字（</t>
    </r>
    <r>
      <rPr>
        <sz val="10"/>
        <rFont val="Arial"/>
        <family val="0"/>
        <charset val="1"/>
      </rPr>
      <t xml:space="preserve">Nakilat</t>
    </r>
    <r>
      <rPr>
        <sz val="10"/>
        <rFont val="Noto Sans CJK SC"/>
        <family val="2"/>
      </rPr>
      <t xml:space="preserve">、</t>
    </r>
    <r>
      <rPr>
        <sz val="10"/>
        <rFont val="Arial"/>
        <family val="0"/>
        <charset val="1"/>
      </rPr>
      <t xml:space="preserve">Qatar Gas Transport</t>
    </r>
    <r>
      <rPr>
        <sz val="10"/>
        <rFont val="Noto Sans CJK SC"/>
        <family val="2"/>
      </rPr>
      <t xml:space="preserve">）疑为同一 </t>
    </r>
    <r>
      <rPr>
        <sz val="10"/>
        <rFont val="Arial"/>
        <family val="0"/>
        <charset val="1"/>
      </rPr>
      <t xml:space="preserve">group</t>
    </r>
    <r>
      <rPr>
        <sz val="10"/>
        <rFont val="Noto Sans CJK SC"/>
        <family val="2"/>
      </rPr>
      <t xml:space="preserve">，</t>
    </r>
    <r>
      <rPr>
        <sz val="10"/>
        <rFont val="Arial"/>
        <family val="0"/>
        <charset val="1"/>
      </rPr>
      <t xml:space="preserve">usage </t>
    </r>
    <r>
      <rPr>
        <sz val="10"/>
        <rFont val="Noto Sans CJK SC"/>
        <family val="2"/>
      </rPr>
      <t xml:space="preserve">可能实为 </t>
    </r>
    <r>
      <rPr>
        <sz val="10"/>
        <rFont val="Arial"/>
        <family val="0"/>
        <charset val="1"/>
      </rPr>
      <t xml:space="preserve">1 </t>
    </r>
    <r>
      <rPr>
        <sz val="10"/>
        <rFont val="Noto Sans CJK SC"/>
        <family val="2"/>
      </rPr>
      <t xml:space="preserve">个 </t>
    </r>
    <r>
      <rPr>
        <sz val="10"/>
        <rFont val="Arial"/>
        <family val="0"/>
        <charset val="1"/>
      </rPr>
      <t xml:space="preserve">credit</t>
    </r>
    <r>
      <rPr>
        <sz val="10"/>
        <rFont val="Noto Sans CJK SC"/>
        <family val="2"/>
      </rPr>
      <t xml:space="preserve">。</t>
    </r>
  </si>
  <si>
    <r>
      <rPr>
        <sz val="10"/>
        <rFont val="Noto Sans CJK SC"/>
        <family val="2"/>
      </rPr>
      <t xml:space="preserve">已知 </t>
    </r>
    <r>
      <rPr>
        <sz val="10"/>
        <rFont val="Arial"/>
        <family val="0"/>
        <charset val="1"/>
      </rPr>
      <t xml:space="preserve">2 </t>
    </r>
    <r>
      <rPr>
        <sz val="10"/>
        <rFont val="Noto Sans CJK SC"/>
        <family val="2"/>
      </rPr>
      <t xml:space="preserve">个（或 </t>
    </r>
    <r>
      <rPr>
        <sz val="10"/>
        <rFont val="Arial"/>
        <family val="0"/>
        <charset val="1"/>
      </rPr>
      <t xml:space="preserve">1 </t>
    </r>
    <r>
      <rPr>
        <sz val="10"/>
        <rFont val="Noto Sans CJK SC"/>
        <family val="2"/>
      </rPr>
      <t xml:space="preserve">个 </t>
    </r>
    <r>
      <rPr>
        <sz val="10"/>
        <rFont val="Arial"/>
        <family val="0"/>
        <charset val="1"/>
      </rPr>
      <t xml:space="preserve">group</t>
    </r>
    <r>
      <rPr>
        <sz val="10"/>
        <rFont val="Noto Sans CJK SC"/>
        <family val="2"/>
      </rPr>
      <t xml:space="preserve">）；</t>
    </r>
    <r>
      <rPr>
        <sz val="10"/>
        <rFont val="Arial"/>
        <family val="0"/>
        <charset val="1"/>
      </rPr>
      <t xml:space="preserve">8 </t>
    </r>
    <r>
      <rPr>
        <sz val="10"/>
        <rFont val="Noto Sans CJK SC"/>
        <family val="2"/>
      </rPr>
      <t xml:space="preserve">个 </t>
    </r>
    <r>
      <rPr>
        <sz val="10"/>
        <rFont val="Arial"/>
        <family val="0"/>
        <charset val="1"/>
      </rPr>
      <t xml:space="preserve">potential </t>
    </r>
    <r>
      <rPr>
        <sz val="10"/>
        <rFont val="Noto Sans CJK SC"/>
        <family val="2"/>
      </rPr>
      <t xml:space="preserve">未使用。</t>
    </r>
  </si>
  <si>
    <r>
      <rPr>
        <sz val="10"/>
        <rFont val="Noto Sans CJK SC"/>
        <family val="2"/>
      </rPr>
      <t xml:space="preserve">两个 </t>
    </r>
    <r>
      <rPr>
        <sz val="10"/>
        <rFont val="Arial"/>
        <family val="0"/>
        <charset val="1"/>
      </rPr>
      <t xml:space="preserve">entity </t>
    </r>
    <r>
      <rPr>
        <sz val="10"/>
        <rFont val="Noto Sans CJK SC"/>
        <family val="2"/>
      </rPr>
      <t xml:space="preserve">的 </t>
    </r>
    <r>
      <rPr>
        <sz val="10"/>
        <rFont val="Arial"/>
        <family val="0"/>
        <charset val="1"/>
      </rPr>
      <t xml:space="preserve">GRE / group support </t>
    </r>
    <r>
      <rPr>
        <sz val="10"/>
        <rFont val="Noto Sans CJK SC"/>
        <family val="2"/>
      </rPr>
      <t xml:space="preserve">评估与 </t>
    </r>
    <r>
      <rPr>
        <sz val="10"/>
        <rFont val="Arial"/>
        <family val="0"/>
        <charset val="1"/>
      </rPr>
      <t xml:space="preserve">SACP</t>
    </r>
    <r>
      <rPr>
        <sz val="10"/>
        <rFont val="Noto Sans CJK SC"/>
        <family val="2"/>
      </rPr>
      <t xml:space="preserve">；</t>
    </r>
    <r>
      <rPr>
        <sz val="10"/>
        <rFont val="Arial"/>
        <family val="0"/>
        <charset val="1"/>
      </rPr>
      <t xml:space="preserve">Table 2 / Table 3 </t>
    </r>
    <r>
      <rPr>
        <sz val="10"/>
        <rFont val="Noto Sans CJK SC"/>
        <family val="2"/>
      </rPr>
      <t xml:space="preserve">重算。</t>
    </r>
  </si>
  <si>
    <r>
      <rPr>
        <sz val="10"/>
        <rFont val="Noto Sans CJK SC"/>
        <family val="2"/>
      </rPr>
      <t xml:space="preserve">待核；</t>
    </r>
    <r>
      <rPr>
        <sz val="10"/>
        <rFont val="Arial"/>
        <family val="0"/>
        <charset val="1"/>
      </rPr>
      <t xml:space="preserve">parked</t>
    </r>
    <r>
      <rPr>
        <sz val="10"/>
        <rFont val="Noto Sans CJK SC"/>
        <family val="2"/>
      </rPr>
      <t xml:space="preserve">（</t>
    </r>
    <r>
      <rPr>
        <sz val="10"/>
        <rFont val="Arial"/>
        <family val="0"/>
        <charset val="1"/>
      </rPr>
      <t xml:space="preserve">1d</t>
    </r>
    <r>
      <rPr>
        <sz val="10"/>
        <rFont val="Noto Sans CJK SC"/>
        <family val="2"/>
      </rPr>
      <t xml:space="preserve">）。</t>
    </r>
  </si>
  <si>
    <t xml:space="preserve">S4</t>
  </si>
  <si>
    <r>
      <rPr>
        <sz val="10"/>
        <rFont val="Arial"/>
        <family val="0"/>
        <charset val="1"/>
      </rPr>
      <t xml:space="preserve">−1 notching </t>
    </r>
    <r>
      <rPr>
        <sz val="10"/>
        <rFont val="Noto Sans CJK SC"/>
        <family val="2"/>
      </rPr>
      <t xml:space="preserve">缺乏 </t>
    </r>
    <r>
      <rPr>
        <sz val="10"/>
        <rFont val="Arial"/>
        <family val="0"/>
        <charset val="1"/>
      </rPr>
      <t xml:space="preserve">guidance</t>
    </r>
  </si>
  <si>
    <r>
      <rPr>
        <sz val="10"/>
        <rFont val="Arial"/>
        <family val="0"/>
        <charset val="1"/>
      </rPr>
      <t xml:space="preserve">Proposal </t>
    </r>
    <r>
      <rPr>
        <sz val="10"/>
        <rFont val="Noto Sans CJK SC"/>
        <family val="2"/>
      </rPr>
      <t xml:space="preserve">只给示例（</t>
    </r>
    <r>
      <rPr>
        <sz val="10"/>
        <rFont val="Arial"/>
        <family val="0"/>
        <charset val="1"/>
      </rPr>
      <t xml:space="preserve">dominant supplier in higher-risk country</t>
    </r>
    <r>
      <rPr>
        <sz val="10"/>
        <rFont val="Noto Sans CJK SC"/>
        <family val="2"/>
      </rPr>
      <t xml:space="preserve">），无触发条件。</t>
    </r>
  </si>
  <si>
    <r>
      <rPr>
        <sz val="10"/>
        <rFont val="Noto Sans CJK SC"/>
        <family val="2"/>
      </rPr>
      <t xml:space="preserve">不同 </t>
    </r>
    <r>
      <rPr>
        <sz val="10"/>
        <rFont val="Arial"/>
        <family val="0"/>
        <charset val="1"/>
      </rPr>
      <t xml:space="preserve">region / analyst </t>
    </r>
    <r>
      <rPr>
        <sz val="10"/>
        <rFont val="Noto Sans CJK SC"/>
        <family val="2"/>
      </rPr>
      <t xml:space="preserve">对相似 </t>
    </r>
    <r>
      <rPr>
        <sz val="10"/>
        <rFont val="Arial"/>
        <family val="0"/>
        <charset val="1"/>
      </rPr>
      <t xml:space="preserve">entity </t>
    </r>
    <r>
      <rPr>
        <sz val="10"/>
        <rFont val="Noto Sans CJK SC"/>
        <family val="2"/>
      </rPr>
      <t xml:space="preserve">的处理不一致；</t>
    </r>
    <r>
      <rPr>
        <sz val="10"/>
        <rFont val="Arial"/>
        <family val="0"/>
        <charset val="1"/>
      </rPr>
      <t xml:space="preserve">notching </t>
    </r>
    <r>
      <rPr>
        <sz val="10"/>
        <rFont val="Noto Sans CJK SC"/>
        <family val="2"/>
      </rPr>
      <t xml:space="preserve">频率无上限。</t>
    </r>
  </si>
  <si>
    <r>
      <rPr>
        <sz val="10"/>
        <rFont val="Noto Sans CJK SC"/>
        <family val="2"/>
      </rPr>
      <t xml:space="preserve">现行 </t>
    </r>
    <r>
      <rPr>
        <sz val="10"/>
        <rFont val="Arial"/>
        <family val="0"/>
        <charset val="1"/>
      </rPr>
      <t xml:space="preserve">para 44 </t>
    </r>
    <r>
      <rPr>
        <sz val="10"/>
        <rFont val="Noto Sans CJK SC"/>
        <family val="2"/>
      </rPr>
      <t xml:space="preserve">的 </t>
    </r>
    <r>
      <rPr>
        <sz val="10"/>
        <rFont val="Arial"/>
        <family val="0"/>
        <charset val="1"/>
      </rPr>
      <t xml:space="preserve">weak-link </t>
    </r>
    <r>
      <rPr>
        <sz val="10"/>
        <rFont val="Noto Sans CJK SC"/>
        <family val="2"/>
      </rPr>
      <t xml:space="preserve">已是判断，但有三种定义情形；新增 </t>
    </r>
    <r>
      <rPr>
        <sz val="10"/>
        <rFont val="Arial"/>
        <family val="0"/>
        <charset val="1"/>
      </rPr>
      <t xml:space="preserve">notching </t>
    </r>
    <r>
      <rPr>
        <sz val="10"/>
        <rFont val="Noto Sans CJK SC"/>
        <family val="2"/>
      </rPr>
      <t xml:space="preserve">是显式的 </t>
    </r>
    <r>
      <rPr>
        <sz val="10"/>
        <rFont val="Arial"/>
        <family val="0"/>
        <charset val="1"/>
      </rPr>
      <t xml:space="preserve">factor-level judgment </t>
    </r>
    <r>
      <rPr>
        <sz val="10"/>
        <rFont val="Noto Sans CJK SC"/>
        <family val="2"/>
      </rPr>
      <t xml:space="preserve">节点。</t>
    </r>
    <r>
      <rPr>
        <sz val="10"/>
        <rFont val="Arial"/>
        <family val="0"/>
        <charset val="1"/>
      </rPr>
      <t xml:space="preserve">C&amp;G RAS para 58 </t>
    </r>
    <r>
      <rPr>
        <sz val="10"/>
        <rFont val="Noto Sans CJK SC"/>
        <family val="2"/>
      </rPr>
      <t xml:space="preserve">的 −</t>
    </r>
    <r>
      <rPr>
        <sz val="10"/>
        <rFont val="Arial"/>
        <family val="0"/>
        <charset val="1"/>
      </rPr>
      <t xml:space="preserve">1 </t>
    </r>
    <r>
      <rPr>
        <sz val="10"/>
        <rFont val="Noto Sans CJK SC"/>
        <family val="2"/>
      </rPr>
      <t xml:space="preserve">有 </t>
    </r>
    <r>
      <rPr>
        <sz val="10"/>
        <rFont val="Arial"/>
        <family val="0"/>
        <charset val="1"/>
      </rPr>
      <t xml:space="preserve">defined conditions</t>
    </r>
    <r>
      <rPr>
        <sz val="10"/>
        <rFont val="Noto Sans CJK SC"/>
        <family val="2"/>
      </rPr>
      <t xml:space="preserve">，说明 </t>
    </r>
    <r>
      <rPr>
        <sz val="10"/>
        <rFont val="Arial"/>
        <family val="0"/>
        <charset val="1"/>
      </rPr>
      <t xml:space="preserve">defined triggers </t>
    </r>
    <r>
      <rPr>
        <sz val="10"/>
        <rFont val="Noto Sans CJK SC"/>
        <family val="2"/>
      </rPr>
      <t xml:space="preserve">是可行的。可接受性取决于 </t>
    </r>
    <r>
      <rPr>
        <sz val="10"/>
        <rFont val="Arial"/>
        <family val="0"/>
        <charset val="1"/>
      </rPr>
      <t xml:space="preserve">draft </t>
    </r>
    <r>
      <rPr>
        <sz val="10"/>
        <rFont val="Noto Sans CJK SC"/>
        <family val="2"/>
      </rPr>
      <t xml:space="preserve">是否给出触发条件与 </t>
    </r>
    <r>
      <rPr>
        <sz val="10"/>
        <rFont val="Arial"/>
        <family val="0"/>
        <charset val="1"/>
      </rPr>
      <t xml:space="preserve">documentation </t>
    </r>
    <r>
      <rPr>
        <sz val="10"/>
        <rFont val="Noto Sans CJK SC"/>
        <family val="2"/>
      </rPr>
      <t xml:space="preserve">要求。</t>
    </r>
  </si>
  <si>
    <r>
      <rPr>
        <sz val="10"/>
        <rFont val="Noto Sans CJK SC"/>
        <family val="2"/>
      </rPr>
      <t xml:space="preserve">无法量化；一致性需 </t>
    </r>
    <r>
      <rPr>
        <sz val="10"/>
        <rFont val="Arial"/>
        <family val="0"/>
        <charset val="1"/>
      </rPr>
      <t xml:space="preserve">UCO / testing </t>
    </r>
    <r>
      <rPr>
        <sz val="10"/>
        <rFont val="Noto Sans CJK SC"/>
        <family val="2"/>
      </rPr>
      <t xml:space="preserve">数据。</t>
    </r>
  </si>
  <si>
    <r>
      <rPr>
        <sz val="10"/>
        <rFont val="Arial"/>
        <family val="0"/>
        <charset val="1"/>
      </rPr>
      <t xml:space="preserve">Draft </t>
    </r>
    <r>
      <rPr>
        <sz val="10"/>
        <rFont val="Noto Sans CJK SC"/>
        <family val="2"/>
      </rPr>
      <t xml:space="preserve">文本；</t>
    </r>
    <r>
      <rPr>
        <sz val="10"/>
        <rFont val="Arial"/>
        <family val="0"/>
        <charset val="1"/>
      </rPr>
      <t xml:space="preserve">testing </t>
    </r>
    <r>
      <rPr>
        <sz val="10"/>
        <rFont val="Noto Sans CJK SC"/>
        <family val="2"/>
      </rPr>
      <t xml:space="preserve">中 </t>
    </r>
    <r>
      <rPr>
        <sz val="10"/>
        <rFont val="Arial"/>
        <family val="0"/>
        <charset val="1"/>
      </rPr>
      <t xml:space="preserve">notching </t>
    </r>
    <r>
      <rPr>
        <sz val="10"/>
        <rFont val="Noto Sans CJK SC"/>
        <family val="2"/>
      </rPr>
      <t xml:space="preserve">使用频率与理由分布。</t>
    </r>
  </si>
  <si>
    <r>
      <rPr>
        <sz val="10"/>
        <rFont val="Arial"/>
        <family val="0"/>
        <charset val="1"/>
      </rPr>
      <t xml:space="preserve">Comment </t>
    </r>
    <r>
      <rPr>
        <sz val="10"/>
        <rFont val="Noto Sans CJK SC"/>
        <family val="2"/>
      </rPr>
      <t xml:space="preserve">候选（参照 </t>
    </r>
    <r>
      <rPr>
        <sz val="10"/>
        <rFont val="Arial"/>
        <family val="0"/>
        <charset val="1"/>
      </rPr>
      <t xml:space="preserve">CP-49 Comment 7</t>
    </r>
    <r>
      <rPr>
        <sz val="10"/>
        <rFont val="Noto Sans CJK SC"/>
        <family val="2"/>
      </rPr>
      <t xml:space="preserve">：</t>
    </r>
    <r>
      <rPr>
        <sz val="10"/>
        <rFont val="Arial"/>
        <family val="0"/>
        <charset val="1"/>
      </rPr>
      <t xml:space="preserve">AJ without guidance</t>
    </r>
    <r>
      <rPr>
        <sz val="10"/>
        <rFont val="Noto Sans CJK SC"/>
        <family val="2"/>
      </rPr>
      <t xml:space="preserve">）。</t>
    </r>
  </si>
  <si>
    <t xml:space="preserve">S5</t>
  </si>
  <si>
    <r>
      <rPr>
        <sz val="10"/>
        <rFont val="Arial"/>
        <family val="0"/>
        <charset val="1"/>
      </rPr>
      <t xml:space="preserve">Weighted average </t>
    </r>
    <r>
      <rPr>
        <sz val="10"/>
        <rFont val="Noto Sans CJK SC"/>
        <family val="2"/>
      </rPr>
      <t xml:space="preserve">与 </t>
    </r>
    <r>
      <rPr>
        <sz val="10"/>
        <rFont val="Arial"/>
        <family val="0"/>
        <charset val="1"/>
      </rPr>
      <t xml:space="preserve">weak-link </t>
    </r>
    <r>
      <rPr>
        <sz val="10"/>
        <rFont val="Noto Sans CJK SC"/>
        <family val="2"/>
      </rPr>
      <t xml:space="preserve">的选择</t>
    </r>
  </si>
  <si>
    <r>
      <rPr>
        <sz val="10"/>
        <rFont val="Arial"/>
        <family val="0"/>
        <charset val="1"/>
      </rPr>
      <t xml:space="preserve">Proposal </t>
    </r>
    <r>
      <rPr>
        <sz val="10"/>
        <rFont val="Noto Sans CJK SC"/>
        <family val="2"/>
      </rPr>
      <t xml:space="preserve">用 </t>
    </r>
    <r>
      <rPr>
        <sz val="10"/>
        <rFont val="Arial"/>
        <family val="0"/>
        <charset val="1"/>
      </rPr>
      <t xml:space="preserve">"when more relevant" </t>
    </r>
    <r>
      <rPr>
        <sz val="10"/>
        <rFont val="Noto Sans CJK SC"/>
        <family val="2"/>
      </rPr>
      <t xml:space="preserve">取代 </t>
    </r>
    <r>
      <rPr>
        <sz val="10"/>
        <rFont val="Arial"/>
        <family val="0"/>
        <charset val="1"/>
      </rPr>
      <t xml:space="preserve">para 44 </t>
    </r>
    <r>
      <rPr>
        <sz val="10"/>
        <rFont val="Noto Sans CJK SC"/>
        <family val="2"/>
      </rPr>
      <t xml:space="preserve">的三种定义情形。</t>
    </r>
  </si>
  <si>
    <r>
      <rPr>
        <sz val="10"/>
        <rFont val="Noto Sans CJK SC"/>
        <family val="2"/>
      </rPr>
      <t xml:space="preserve">同类 </t>
    </r>
    <r>
      <rPr>
        <sz val="10"/>
        <rFont val="Arial"/>
        <family val="0"/>
        <charset val="1"/>
      </rPr>
      <t xml:space="preserve">entity </t>
    </r>
    <r>
      <rPr>
        <sz val="10"/>
        <rFont val="Noto Sans CJK SC"/>
        <family val="2"/>
      </rPr>
      <t xml:space="preserve">一个用 </t>
    </r>
    <r>
      <rPr>
        <sz val="10"/>
        <rFont val="Arial"/>
        <family val="0"/>
        <charset val="1"/>
      </rPr>
      <t xml:space="preserve">weighted average</t>
    </r>
    <r>
      <rPr>
        <sz val="10"/>
        <rFont val="Noto Sans CJK SC"/>
        <family val="2"/>
      </rPr>
      <t xml:space="preserve">、一个用 </t>
    </r>
    <r>
      <rPr>
        <sz val="10"/>
        <rFont val="Arial"/>
        <family val="0"/>
        <charset val="1"/>
      </rPr>
      <t xml:space="preserve">weak-link</t>
    </r>
    <r>
      <rPr>
        <sz val="10"/>
        <rFont val="Noto Sans CJK SC"/>
        <family val="2"/>
      </rPr>
      <t xml:space="preserve">，</t>
    </r>
    <r>
      <rPr>
        <sz val="10"/>
        <rFont val="Arial"/>
        <family val="0"/>
        <charset val="1"/>
      </rPr>
      <t xml:space="preserve">CR </t>
    </r>
    <r>
      <rPr>
        <sz val="10"/>
        <rFont val="Noto Sans CJK SC"/>
        <family val="2"/>
      </rPr>
      <t xml:space="preserve">相差可达数个 </t>
    </r>
    <r>
      <rPr>
        <sz val="10"/>
        <rFont val="Arial"/>
        <family val="0"/>
        <charset val="1"/>
      </rPr>
      <t xml:space="preserve">category</t>
    </r>
    <r>
      <rPr>
        <sz val="10"/>
        <rFont val="Noto Sans CJK SC"/>
        <family val="2"/>
      </rPr>
      <t xml:space="preserve">。</t>
    </r>
  </si>
  <si>
    <r>
      <rPr>
        <sz val="10"/>
        <rFont val="Arial"/>
        <family val="0"/>
        <charset val="1"/>
      </rPr>
      <t xml:space="preserve">Weak-link </t>
    </r>
    <r>
      <rPr>
        <sz val="10"/>
        <rFont val="Noto Sans CJK SC"/>
        <family val="2"/>
      </rPr>
      <t xml:space="preserve">的结果可能远高于 </t>
    </r>
    <r>
      <rPr>
        <sz val="10"/>
        <rFont val="Arial"/>
        <family val="0"/>
        <charset val="1"/>
      </rPr>
      <t xml:space="preserve">weighted average</t>
    </r>
    <r>
      <rPr>
        <sz val="10"/>
        <rFont val="Noto Sans CJK SC"/>
        <family val="2"/>
      </rPr>
      <t xml:space="preserve">（例如 </t>
    </r>
    <r>
      <rPr>
        <sz val="10"/>
        <rFont val="Arial"/>
        <family val="0"/>
        <charset val="1"/>
      </rPr>
      <t xml:space="preserve">fixed assets </t>
    </r>
    <r>
      <rPr>
        <sz val="10"/>
        <rFont val="Noto Sans CJK SC"/>
        <family val="2"/>
      </rPr>
      <t xml:space="preserve">全在 </t>
    </r>
    <r>
      <rPr>
        <sz val="10"/>
        <rFont val="Arial"/>
        <family val="0"/>
        <charset val="1"/>
      </rPr>
      <t xml:space="preserve">CR 5 </t>
    </r>
    <r>
      <rPr>
        <sz val="10"/>
        <rFont val="Noto Sans CJK SC"/>
        <family val="2"/>
      </rPr>
      <t xml:space="preserve">国家而收入来自 </t>
    </r>
    <r>
      <rPr>
        <sz val="10"/>
        <rFont val="Arial"/>
        <family val="0"/>
        <charset val="1"/>
      </rPr>
      <t xml:space="preserve">CR 1 </t>
    </r>
    <r>
      <rPr>
        <sz val="10"/>
        <rFont val="Noto Sans CJK SC"/>
        <family val="2"/>
      </rPr>
      <t xml:space="preserve">国家）。若 </t>
    </r>
    <r>
      <rPr>
        <sz val="10"/>
        <rFont val="Arial"/>
        <family val="0"/>
        <charset val="1"/>
      </rPr>
      <t xml:space="preserve">draft </t>
    </r>
    <r>
      <rPr>
        <sz val="10"/>
        <rFont val="Noto Sans CJK SC"/>
        <family val="2"/>
      </rPr>
      <t xml:space="preserve">保留 </t>
    </r>
    <r>
      <rPr>
        <sz val="10"/>
        <rFont val="Arial"/>
        <family val="0"/>
        <charset val="1"/>
      </rPr>
      <t xml:space="preserve">para 44 </t>
    </r>
    <r>
      <rPr>
        <sz val="10"/>
        <rFont val="Noto Sans CJK SC"/>
        <family val="2"/>
      </rPr>
      <t xml:space="preserve">的三种情形作为触发条件则可接受。</t>
    </r>
  </si>
  <si>
    <r>
      <rPr>
        <sz val="10"/>
        <rFont val="Noto Sans CJK SC"/>
        <family val="2"/>
      </rPr>
      <t xml:space="preserve">无法量化；现行 </t>
    </r>
    <r>
      <rPr>
        <sz val="10"/>
        <rFont val="Arial"/>
        <family val="0"/>
        <charset val="1"/>
      </rPr>
      <t xml:space="preserve">weak-link </t>
    </r>
    <r>
      <rPr>
        <sz val="10"/>
        <rFont val="Noto Sans CJK SC"/>
        <family val="2"/>
      </rPr>
      <t xml:space="preserve">使用数（</t>
    </r>
    <r>
      <rPr>
        <sz val="10"/>
        <rFont val="Arial"/>
        <family val="0"/>
        <charset val="1"/>
      </rPr>
      <t xml:space="preserve">C.18</t>
    </r>
    <r>
      <rPr>
        <sz val="10"/>
        <rFont val="Noto Sans CJK SC"/>
        <family val="2"/>
      </rPr>
      <t xml:space="preserve">）可作基准。</t>
    </r>
  </si>
  <si>
    <r>
      <rPr>
        <sz val="10"/>
        <rFont val="Arial"/>
        <family val="0"/>
        <charset val="1"/>
      </rPr>
      <t xml:space="preserve">Draft </t>
    </r>
    <r>
      <rPr>
        <sz val="10"/>
        <rFont val="Noto Sans CJK SC"/>
        <family val="2"/>
      </rPr>
      <t xml:space="preserve">文本；</t>
    </r>
    <r>
      <rPr>
        <sz val="10"/>
        <rFont val="Arial"/>
        <family val="0"/>
        <charset val="1"/>
      </rPr>
      <t xml:space="preserve">C.18</t>
    </r>
    <r>
      <rPr>
        <sz val="10"/>
        <rFont val="Noto Sans CJK SC"/>
        <family val="2"/>
      </rPr>
      <t xml:space="preserve">。</t>
    </r>
  </si>
  <si>
    <r>
      <rPr>
        <sz val="10"/>
        <rFont val="Noto Sans CJK SC"/>
        <family val="2"/>
      </rPr>
      <t xml:space="preserve">待 </t>
    </r>
    <r>
      <rPr>
        <sz val="10"/>
        <rFont val="Arial"/>
        <family val="0"/>
        <charset val="1"/>
      </rPr>
      <t xml:space="preserve">draft</t>
    </r>
    <r>
      <rPr>
        <sz val="10"/>
        <rFont val="Noto Sans CJK SC"/>
        <family val="2"/>
      </rPr>
      <t xml:space="preserve">；与 </t>
    </r>
    <r>
      <rPr>
        <sz val="10"/>
        <rFont val="Arial"/>
        <family val="0"/>
        <charset val="1"/>
      </rPr>
      <t xml:space="preserve">S4 </t>
    </r>
    <r>
      <rPr>
        <sz val="10"/>
        <rFont val="Noto Sans CJK SC"/>
        <family val="2"/>
      </rPr>
      <t xml:space="preserve">合并为一个 </t>
    </r>
    <r>
      <rPr>
        <sz val="10"/>
        <rFont val="Arial"/>
        <family val="0"/>
        <charset val="1"/>
      </rPr>
      <t xml:space="preserve">consistency-of-application </t>
    </r>
    <r>
      <rPr>
        <sz val="10"/>
        <rFont val="Noto Sans CJK SC"/>
        <family val="2"/>
      </rPr>
      <t xml:space="preserve">观察点。</t>
    </r>
  </si>
  <si>
    <t xml:space="preserve">S6</t>
  </si>
  <si>
    <r>
      <rPr>
        <sz val="10"/>
        <rFont val="Arial"/>
        <family val="0"/>
        <charset val="1"/>
      </rPr>
      <t xml:space="preserve">Rounding </t>
    </r>
    <r>
      <rPr>
        <sz val="10"/>
        <rFont val="Noto Sans CJK SC"/>
        <family val="2"/>
      </rPr>
      <t xml:space="preserve">规则</t>
    </r>
  </si>
  <si>
    <r>
      <rPr>
        <sz val="10"/>
        <rFont val="Arial"/>
        <family val="0"/>
        <charset val="1"/>
      </rPr>
      <t xml:space="preserve">5% </t>
    </r>
    <r>
      <rPr>
        <sz val="10"/>
        <rFont val="Noto Sans CJK SC"/>
        <family val="2"/>
      </rPr>
      <t xml:space="preserve">增量 </t>
    </r>
    <r>
      <rPr>
        <sz val="10"/>
        <rFont val="Arial"/>
        <family val="0"/>
        <charset val="1"/>
      </rPr>
      <t xml:space="preserve">rounding </t>
    </r>
    <r>
      <rPr>
        <sz val="10"/>
        <rFont val="Noto Sans CJK SC"/>
        <family val="2"/>
      </rPr>
      <t xml:space="preserve">删除；</t>
    </r>
    <r>
      <rPr>
        <sz val="10"/>
        <rFont val="Arial"/>
        <family val="0"/>
        <charset val="1"/>
      </rPr>
      <t xml:space="preserve">integer rounding </t>
    </r>
    <r>
      <rPr>
        <sz val="10"/>
        <rFont val="Noto Sans CJK SC"/>
        <family val="2"/>
      </rPr>
      <t xml:space="preserve">未提。</t>
    </r>
  </si>
  <si>
    <r>
      <rPr>
        <sz val="10"/>
        <rFont val="Arial"/>
        <family val="0"/>
        <charset val="1"/>
      </rPr>
      <t xml:space="preserve">5% </t>
    </r>
    <r>
      <rPr>
        <sz val="10"/>
        <rFont val="Noto Sans CJK SC"/>
        <family val="2"/>
      </rPr>
      <t xml:space="preserve">增量 </t>
    </r>
    <r>
      <rPr>
        <sz val="10"/>
        <rFont val="Arial"/>
        <family val="0"/>
        <charset val="1"/>
      </rPr>
      <t xml:space="preserve">rounding </t>
    </r>
    <r>
      <rPr>
        <sz val="10"/>
        <rFont val="Noto Sans CJK SC"/>
        <family val="2"/>
      </rPr>
      <t xml:space="preserve">删除对结果影响极小（单国最大 </t>
    </r>
    <r>
      <rPr>
        <sz val="10"/>
        <rFont val="Arial"/>
        <family val="0"/>
        <charset val="1"/>
      </rPr>
      <t xml:space="preserve">2.5% </t>
    </r>
    <r>
      <rPr>
        <sz val="10"/>
        <rFont val="Noto Sans CJK SC"/>
        <family val="2"/>
      </rPr>
      <t xml:space="preserve">权重误差 </t>
    </r>
    <r>
      <rPr>
        <sz val="10"/>
        <rFont val="Arial"/>
        <family val="0"/>
        <charset val="1"/>
      </rPr>
      <t xml:space="preserve">× 5 = 0.125</t>
    </r>
    <r>
      <rPr>
        <sz val="10"/>
        <rFont val="Noto Sans CJK SC"/>
        <family val="2"/>
      </rPr>
      <t xml:space="preserve">）；若 </t>
    </r>
    <r>
      <rPr>
        <sz val="10"/>
        <rFont val="Arial"/>
        <family val="0"/>
        <charset val="1"/>
      </rPr>
      <t xml:space="preserve">integer rounding </t>
    </r>
    <r>
      <rPr>
        <sz val="10"/>
        <rFont val="Noto Sans CJK SC"/>
        <family val="2"/>
      </rPr>
      <t xml:space="preserve">或 </t>
    </r>
    <r>
      <rPr>
        <sz val="10"/>
        <rFont val="Arial"/>
        <family val="0"/>
        <charset val="1"/>
      </rPr>
      <t xml:space="preserve">x.5 </t>
    </r>
    <r>
      <rPr>
        <sz val="10"/>
        <rFont val="Noto Sans CJK SC"/>
        <family val="2"/>
      </rPr>
      <t xml:space="preserve">规则缺失，</t>
    </r>
    <r>
      <rPr>
        <sz val="10"/>
        <rFont val="Arial"/>
        <family val="0"/>
        <charset val="1"/>
      </rPr>
      <t xml:space="preserve">CCST </t>
    </r>
    <r>
      <rPr>
        <sz val="10"/>
        <rFont val="Noto Sans CJK SC"/>
        <family val="2"/>
      </rPr>
      <t xml:space="preserve">输出不确定。</t>
    </r>
  </si>
  <si>
    <r>
      <rPr>
        <sz val="10"/>
        <rFont val="Noto Sans CJK SC"/>
        <family val="2"/>
      </rPr>
      <t xml:space="preserve">可接受；关键是 </t>
    </r>
    <r>
      <rPr>
        <sz val="10"/>
        <rFont val="Arial"/>
        <family val="0"/>
        <charset val="1"/>
      </rPr>
      <t xml:space="preserve">integer rounding </t>
    </r>
    <r>
      <rPr>
        <sz val="10"/>
        <rFont val="Noto Sans CJK SC"/>
        <family val="2"/>
      </rPr>
      <t xml:space="preserve">与 </t>
    </r>
    <r>
      <rPr>
        <sz val="10"/>
        <rFont val="Arial"/>
        <family val="0"/>
        <charset val="1"/>
      </rPr>
      <t xml:space="preserve">x.5 </t>
    </r>
    <r>
      <rPr>
        <sz val="10"/>
        <rFont val="Noto Sans CJK SC"/>
        <family val="2"/>
      </rPr>
      <t xml:space="preserve">规则必须写明（</t>
    </r>
    <r>
      <rPr>
        <sz val="10"/>
        <rFont val="Arial"/>
        <family val="0"/>
        <charset val="1"/>
      </rPr>
      <t xml:space="preserve">FI methodology </t>
    </r>
    <r>
      <rPr>
        <sz val="10"/>
        <rFont val="Noto Sans CJK SC"/>
        <family val="2"/>
      </rPr>
      <t xml:space="preserve">示例 </t>
    </r>
    <r>
      <rPr>
        <sz val="10"/>
        <rFont val="Arial"/>
        <family val="0"/>
        <charset val="1"/>
      </rPr>
      <t xml:space="preserve">2.55→3 </t>
    </r>
    <r>
      <rPr>
        <sz val="10"/>
        <rFont val="Noto Sans CJK SC"/>
        <family val="2"/>
      </rPr>
      <t xml:space="preserve">为向上取整）。</t>
    </r>
  </si>
  <si>
    <r>
      <rPr>
        <sz val="10"/>
        <rFont val="Arial"/>
        <family val="0"/>
        <charset val="1"/>
      </rPr>
      <t xml:space="preserve">CCST </t>
    </r>
    <r>
      <rPr>
        <sz val="10"/>
        <rFont val="Noto Sans CJK SC"/>
        <family val="2"/>
      </rPr>
      <t xml:space="preserve">规则（</t>
    </r>
    <r>
      <rPr>
        <sz val="10"/>
        <rFont val="Arial"/>
        <family val="0"/>
        <charset val="1"/>
      </rPr>
      <t xml:space="preserve">A.5</t>
    </r>
    <r>
      <rPr>
        <sz val="10"/>
        <rFont val="Noto Sans CJK SC"/>
        <family val="2"/>
      </rPr>
      <t xml:space="preserve">）；</t>
    </r>
    <r>
      <rPr>
        <sz val="10"/>
        <rFont val="Arial"/>
        <family val="0"/>
        <charset val="1"/>
      </rPr>
      <t xml:space="preserve">draft </t>
    </r>
    <r>
      <rPr>
        <sz val="10"/>
        <rFont val="Noto Sans CJK SC"/>
        <family val="2"/>
      </rPr>
      <t xml:space="preserve">文本。</t>
    </r>
  </si>
  <si>
    <r>
      <rPr>
        <sz val="10"/>
        <rFont val="Arial"/>
        <family val="0"/>
        <charset val="1"/>
      </rPr>
      <t xml:space="preserve">Acceptable</t>
    </r>
    <r>
      <rPr>
        <sz val="10"/>
        <rFont val="Noto Sans CJK SC"/>
        <family val="2"/>
      </rPr>
      <t xml:space="preserve">；需 </t>
    </r>
    <r>
      <rPr>
        <sz val="10"/>
        <rFont val="Arial"/>
        <family val="0"/>
        <charset val="1"/>
      </rPr>
      <t xml:space="preserve">CCST </t>
    </r>
    <r>
      <rPr>
        <sz val="10"/>
        <rFont val="Noto Sans CJK SC"/>
        <family val="2"/>
      </rPr>
      <t xml:space="preserve">规则确认。</t>
    </r>
  </si>
  <si>
    <t xml:space="preserve">S7</t>
  </si>
  <si>
    <r>
      <rPr>
        <sz val="10"/>
        <rFont val="Noto Sans CJK SC"/>
        <family val="2"/>
      </rPr>
      <t xml:space="preserve">按 </t>
    </r>
    <r>
      <rPr>
        <sz val="10"/>
        <rFont val="Arial"/>
        <family val="0"/>
        <charset val="1"/>
      </rPr>
      <t xml:space="preserve">company reporting </t>
    </r>
    <r>
      <rPr>
        <sz val="10"/>
        <rFont val="Noto Sans CJK SC"/>
        <family val="2"/>
      </rPr>
      <t xml:space="preserve">输入的可比性</t>
    </r>
  </si>
  <si>
    <r>
      <rPr>
        <sz val="10"/>
        <rFont val="Arial"/>
        <family val="0"/>
        <charset val="1"/>
      </rPr>
      <t xml:space="preserve">"Align the inputs with the company's reporting"</t>
    </r>
    <r>
      <rPr>
        <sz val="10"/>
        <rFont val="Noto Sans CJK SC"/>
        <family val="2"/>
      </rPr>
      <t xml:space="preserve">。</t>
    </r>
  </si>
  <si>
    <r>
      <rPr>
        <sz val="10"/>
        <rFont val="Noto Sans CJK SC"/>
        <family val="2"/>
      </rPr>
      <t xml:space="preserve">不同公司使用不同口径（</t>
    </r>
    <r>
      <rPr>
        <sz val="10"/>
        <rFont val="Arial"/>
        <family val="0"/>
        <charset val="1"/>
      </rPr>
      <t xml:space="preserve">revenue by destination vs by origin</t>
    </r>
    <r>
      <rPr>
        <sz val="10"/>
        <rFont val="Noto Sans CJK SC"/>
        <family val="2"/>
      </rPr>
      <t xml:space="preserve">；</t>
    </r>
    <r>
      <rPr>
        <sz val="10"/>
        <rFont val="Arial"/>
        <family val="0"/>
        <charset val="1"/>
      </rPr>
      <t xml:space="preserve">EBITDA</t>
    </r>
    <r>
      <rPr>
        <sz val="10"/>
        <rFont val="Noto Sans CJK SC"/>
        <family val="2"/>
      </rPr>
      <t xml:space="preserve">；</t>
    </r>
    <r>
      <rPr>
        <sz val="10"/>
        <rFont val="Arial"/>
        <family val="0"/>
        <charset val="1"/>
      </rPr>
      <t xml:space="preserve">assets</t>
    </r>
    <r>
      <rPr>
        <sz val="10"/>
        <rFont val="Noto Sans CJK SC"/>
        <family val="2"/>
      </rPr>
      <t xml:space="preserve">）；分析师可能默认采用披露口径而非最能反映 </t>
    </r>
    <r>
      <rPr>
        <sz val="10"/>
        <rFont val="Arial"/>
        <family val="0"/>
        <charset val="1"/>
      </rPr>
      <t xml:space="preserve">country risk </t>
    </r>
    <r>
      <rPr>
        <sz val="10"/>
        <rFont val="Noto Sans CJK SC"/>
        <family val="2"/>
      </rPr>
      <t xml:space="preserve">的口径。</t>
    </r>
  </si>
  <si>
    <r>
      <rPr>
        <sz val="10"/>
        <rFont val="Noto Sans CJK SC"/>
        <family val="2"/>
      </rPr>
      <t xml:space="preserve">现行 </t>
    </r>
    <r>
      <rPr>
        <sz val="10"/>
        <rFont val="Arial"/>
        <family val="0"/>
        <charset val="1"/>
      </rPr>
      <t xml:space="preserve">para 42 </t>
    </r>
    <r>
      <rPr>
        <sz val="10"/>
        <rFont val="Noto Sans CJK SC"/>
        <family val="2"/>
      </rPr>
      <t xml:space="preserve">已允许多种指标，所以不是新问题；但 </t>
    </r>
    <r>
      <rPr>
        <sz val="10"/>
        <rFont val="Arial"/>
        <family val="0"/>
        <charset val="1"/>
      </rPr>
      <t xml:space="preserve">revenue by destination </t>
    </r>
    <r>
      <rPr>
        <sz val="10"/>
        <rFont val="Noto Sans CJK SC"/>
        <family val="2"/>
      </rPr>
      <t xml:space="preserve">会低估生产地风险，这正是 </t>
    </r>
    <r>
      <rPr>
        <sz val="10"/>
        <rFont val="Arial"/>
        <family val="0"/>
        <charset val="1"/>
      </rPr>
      <t xml:space="preserve">para 44 weak-link </t>
    </r>
    <r>
      <rPr>
        <sz val="10"/>
        <rFont val="Noto Sans CJK SC"/>
        <family val="2"/>
      </rPr>
      <t xml:space="preserve">要解决的问题。需要 </t>
    </r>
    <r>
      <rPr>
        <sz val="10"/>
        <rFont val="Arial"/>
        <family val="0"/>
        <charset val="1"/>
      </rPr>
      <t xml:space="preserve">draft </t>
    </r>
    <r>
      <rPr>
        <sz val="10"/>
        <rFont val="Noto Sans CJK SC"/>
        <family val="2"/>
      </rPr>
      <t xml:space="preserve">明确指标选择原则。</t>
    </r>
  </si>
  <si>
    <t xml:space="preserve">无法量化。</t>
  </si>
  <si>
    <r>
      <rPr>
        <sz val="10"/>
        <rFont val="Arial"/>
        <family val="0"/>
        <charset val="1"/>
      </rPr>
      <t xml:space="preserve">Draft </t>
    </r>
    <r>
      <rPr>
        <sz val="10"/>
        <rFont val="Noto Sans CJK SC"/>
        <family val="2"/>
      </rPr>
      <t xml:space="preserve">文本；</t>
    </r>
    <r>
      <rPr>
        <sz val="10"/>
        <rFont val="Arial"/>
        <family val="0"/>
        <charset val="1"/>
      </rPr>
      <t xml:space="preserve">testing </t>
    </r>
    <r>
      <rPr>
        <sz val="10"/>
        <rFont val="Noto Sans CJK SC"/>
        <family val="2"/>
      </rPr>
      <t xml:space="preserve">样本中各 </t>
    </r>
    <r>
      <rPr>
        <sz val="10"/>
        <rFont val="Arial"/>
        <family val="0"/>
        <charset val="1"/>
      </rPr>
      <t xml:space="preserve">entity </t>
    </r>
    <r>
      <rPr>
        <sz val="10"/>
        <rFont val="Noto Sans CJK SC"/>
        <family val="2"/>
      </rPr>
      <t xml:space="preserve">使用的指标。</t>
    </r>
  </si>
  <si>
    <r>
      <rPr>
        <sz val="10"/>
        <rFont val="Arial"/>
        <family val="0"/>
        <charset val="1"/>
      </rPr>
      <t xml:space="preserve">Observation </t>
    </r>
    <r>
      <rPr>
        <sz val="10"/>
        <rFont val="Noto Sans CJK SC"/>
        <family val="2"/>
      </rPr>
      <t xml:space="preserve">候选。</t>
    </r>
  </si>
  <si>
    <t xml:space="preserve">S8</t>
  </si>
  <si>
    <r>
      <rPr>
        <sz val="10"/>
        <rFont val="Arial"/>
        <family val="0"/>
        <charset val="1"/>
      </rPr>
      <t xml:space="preserve">Rating volatility </t>
    </r>
    <r>
      <rPr>
        <sz val="10"/>
        <rFont val="Noto Sans CJK SC"/>
        <family val="2"/>
      </rPr>
      <t xml:space="preserve">上升</t>
    </r>
  </si>
  <si>
    <r>
      <rPr>
        <sz val="10"/>
        <rFont val="Noto Sans CJK SC"/>
        <family val="2"/>
      </rPr>
      <t xml:space="preserve">更细的输入 </t>
    </r>
    <r>
      <rPr>
        <sz val="10"/>
        <rFont val="Arial"/>
        <family val="0"/>
        <charset val="1"/>
      </rPr>
      <t xml:space="preserve">+ </t>
    </r>
    <r>
      <rPr>
        <sz val="10"/>
        <rFont val="Noto Sans CJK SC"/>
        <family val="2"/>
      </rPr>
      <t xml:space="preserve">年度披露变动 → </t>
    </r>
    <r>
      <rPr>
        <sz val="10"/>
        <rFont val="Arial"/>
        <family val="0"/>
        <charset val="1"/>
      </rPr>
      <t xml:space="preserve">CR score </t>
    </r>
    <r>
      <rPr>
        <sz val="10"/>
        <rFont val="Noto Sans CJK SC"/>
        <family val="2"/>
      </rPr>
      <t xml:space="preserve">变动更频繁。</t>
    </r>
  </si>
  <si>
    <r>
      <rPr>
        <sz val="10"/>
        <rFont val="Arial"/>
        <family val="0"/>
        <charset val="1"/>
      </rPr>
      <t xml:space="preserve">CR </t>
    </r>
    <r>
      <rPr>
        <sz val="10"/>
        <rFont val="Noto Sans CJK SC"/>
        <family val="2"/>
      </rPr>
      <t xml:space="preserve">变动经 </t>
    </r>
    <r>
      <rPr>
        <sz val="10"/>
        <rFont val="Arial"/>
        <family val="0"/>
        <charset val="1"/>
      </rPr>
      <t xml:space="preserve">CICRA </t>
    </r>
    <r>
      <rPr>
        <sz val="10"/>
        <rFont val="Noto Sans CJK SC"/>
        <family val="2"/>
      </rPr>
      <t xml:space="preserve">影响 </t>
    </r>
    <r>
      <rPr>
        <sz val="10"/>
        <rFont val="Arial"/>
        <family val="0"/>
        <charset val="1"/>
      </rPr>
      <t xml:space="preserve">rating</t>
    </r>
    <r>
      <rPr>
        <sz val="10"/>
        <rFont val="Noto Sans CJK SC"/>
        <family val="2"/>
      </rPr>
      <t xml:space="preserve">。</t>
    </r>
  </si>
  <si>
    <r>
      <rPr>
        <sz val="10"/>
        <rFont val="Arial"/>
        <family val="0"/>
        <charset val="1"/>
      </rPr>
      <t xml:space="preserve">Integer rounding </t>
    </r>
    <r>
      <rPr>
        <sz val="10"/>
        <rFont val="Noto Sans CJK SC"/>
        <family val="2"/>
      </rPr>
      <t xml:space="preserve">吸收大部分变动；</t>
    </r>
    <r>
      <rPr>
        <sz val="10"/>
        <rFont val="Arial"/>
        <family val="0"/>
        <charset val="1"/>
      </rPr>
      <t xml:space="preserve">CR 1–3 </t>
    </r>
    <r>
      <rPr>
        <sz val="10"/>
        <rFont val="Noto Sans CJK SC"/>
        <family val="2"/>
      </rPr>
      <t xml:space="preserve">中性；只有 </t>
    </r>
    <r>
      <rPr>
        <sz val="10"/>
        <rFont val="Arial"/>
        <family val="0"/>
        <charset val="1"/>
      </rPr>
      <t xml:space="preserve">CR 4+ </t>
    </r>
    <r>
      <rPr>
        <sz val="10"/>
        <rFont val="Noto Sans CJK SC"/>
        <family val="2"/>
      </rPr>
      <t xml:space="preserve">且位于边界区的 </t>
    </r>
    <r>
      <rPr>
        <sz val="10"/>
        <rFont val="Arial"/>
        <family val="0"/>
        <charset val="1"/>
      </rPr>
      <t xml:space="preserve">entity </t>
    </r>
    <r>
      <rPr>
        <sz val="10"/>
        <rFont val="Noto Sans CJK SC"/>
        <family val="2"/>
      </rPr>
      <t xml:space="preserve">受影响。概率低。</t>
    </r>
  </si>
  <si>
    <t xml:space="preserve">低。</t>
  </si>
  <si>
    <r>
      <rPr>
        <sz val="10"/>
        <rFont val="Arial"/>
        <family val="0"/>
        <charset val="1"/>
      </rPr>
      <t xml:space="preserve">C.17</t>
    </r>
    <r>
      <rPr>
        <sz val="10"/>
        <rFont val="Noto Sans CJK SC"/>
        <family val="2"/>
      </rPr>
      <t xml:space="preserve">；历史上 </t>
    </r>
    <r>
      <rPr>
        <sz val="10"/>
        <rFont val="Arial"/>
        <family val="0"/>
        <charset val="1"/>
      </rPr>
      <t xml:space="preserve">CR score </t>
    </r>
    <r>
      <rPr>
        <sz val="10"/>
        <rFont val="Noto Sans CJK SC"/>
        <family val="2"/>
      </rPr>
      <t xml:space="preserve">变动引发 </t>
    </r>
    <r>
      <rPr>
        <sz val="10"/>
        <rFont val="Arial"/>
        <family val="0"/>
        <charset val="1"/>
      </rPr>
      <t xml:space="preserve">rating </t>
    </r>
    <r>
      <rPr>
        <sz val="10"/>
        <rFont val="Noto Sans CJK SC"/>
        <family val="2"/>
      </rPr>
      <t xml:space="preserve">变动的案例（</t>
    </r>
    <r>
      <rPr>
        <sz val="10"/>
        <rFont val="Arial"/>
        <family val="0"/>
        <charset val="1"/>
      </rPr>
      <t xml:space="preserve">C.19</t>
    </r>
    <r>
      <rPr>
        <sz val="10"/>
        <rFont val="Noto Sans CJK SC"/>
        <family val="2"/>
      </rPr>
      <t xml:space="preserve">）。</t>
    </r>
  </si>
  <si>
    <r>
      <rPr>
        <sz val="10"/>
        <rFont val="Arial"/>
        <family val="0"/>
        <charset val="1"/>
      </rPr>
      <t xml:space="preserve">Acceptable</t>
    </r>
    <r>
      <rPr>
        <sz val="10"/>
        <rFont val="Noto Sans CJK SC"/>
        <family val="2"/>
      </rPr>
      <t xml:space="preserve">。</t>
    </r>
  </si>
  <si>
    <t xml:space="preserve">S9</t>
  </si>
  <si>
    <r>
      <rPr>
        <sz val="10"/>
        <rFont val="Arial"/>
        <family val="0"/>
        <charset val="1"/>
      </rPr>
      <t xml:space="preserve">Geographic diversity </t>
    </r>
    <r>
      <rPr>
        <sz val="10"/>
        <rFont val="Noto Sans CJK SC"/>
        <family val="2"/>
      </rPr>
      <t xml:space="preserve">的归属（与 </t>
    </r>
    <r>
      <rPr>
        <sz val="10"/>
        <rFont val="Arial"/>
        <family val="0"/>
        <charset val="1"/>
      </rPr>
      <t xml:space="preserve">#8 / #11 </t>
    </r>
    <r>
      <rPr>
        <sz val="10"/>
        <rFont val="Noto Sans CJK SC"/>
        <family val="2"/>
      </rPr>
      <t xml:space="preserve">联动）</t>
    </r>
  </si>
  <si>
    <r>
      <rPr>
        <sz val="10"/>
        <rFont val="Arial"/>
        <family val="0"/>
        <charset val="1"/>
      </rPr>
      <t xml:space="preserve">para 49 </t>
    </r>
    <r>
      <rPr>
        <sz val="10"/>
        <rFont val="Noto Sans CJK SC"/>
        <family val="2"/>
      </rPr>
      <t xml:space="preserve">删除；</t>
    </r>
    <r>
      <rPr>
        <sz val="10"/>
        <rFont val="Arial"/>
        <family val="0"/>
        <charset val="1"/>
      </rPr>
      <t xml:space="preserve">#8 </t>
    </r>
    <r>
      <rPr>
        <sz val="10"/>
        <rFont val="Noto Sans CJK SC"/>
        <family val="2"/>
      </rPr>
      <t xml:space="preserve">删除 </t>
    </r>
    <r>
      <rPr>
        <sz val="10"/>
        <rFont val="Arial"/>
        <family val="0"/>
        <charset val="1"/>
      </rPr>
      <t xml:space="preserve">Diversification modifier</t>
    </r>
    <r>
      <rPr>
        <sz val="10"/>
        <rFont val="Noto Sans CJK SC"/>
        <family val="2"/>
      </rPr>
      <t xml:space="preserve">；</t>
    </r>
    <r>
      <rPr>
        <sz val="10"/>
        <rFont val="Arial"/>
        <family val="0"/>
        <charset val="1"/>
      </rPr>
      <t xml:space="preserve">#11 </t>
    </r>
    <r>
      <rPr>
        <sz val="10"/>
        <rFont val="Noto Sans CJK SC"/>
        <family val="2"/>
      </rPr>
      <t xml:space="preserve">新 </t>
    </r>
    <r>
      <rPr>
        <sz val="10"/>
        <rFont val="Arial"/>
        <family val="0"/>
        <charset val="1"/>
      </rPr>
      <t xml:space="preserve">modifier table </t>
    </r>
    <r>
      <rPr>
        <sz val="10"/>
        <rFont val="Noto Sans CJK SC"/>
        <family val="2"/>
      </rPr>
      <t xml:space="preserve">含 </t>
    </r>
    <r>
      <rPr>
        <sz val="10"/>
        <rFont val="Arial"/>
        <family val="0"/>
        <charset val="1"/>
      </rPr>
      <t xml:space="preserve">"extraordinary diversification"</t>
    </r>
    <r>
      <rPr>
        <sz val="10"/>
        <rFont val="Noto Sans CJK SC"/>
        <family val="2"/>
      </rPr>
      <t xml:space="preserve">。</t>
    </r>
  </si>
  <si>
    <r>
      <rPr>
        <sz val="10"/>
        <rFont val="Arial"/>
        <family val="0"/>
        <charset val="1"/>
      </rPr>
      <t xml:space="preserve">EM-heavy </t>
    </r>
    <r>
      <rPr>
        <sz val="10"/>
        <rFont val="Noto Sans CJK SC"/>
        <family val="2"/>
      </rPr>
      <t xml:space="preserve">但高度分散的公司失去 </t>
    </r>
    <r>
      <rPr>
        <sz val="10"/>
        <rFont val="Arial"/>
        <family val="0"/>
        <charset val="1"/>
      </rPr>
      <t xml:space="preserve">+1</t>
    </r>
    <r>
      <rPr>
        <sz val="10"/>
        <rFont val="Noto Sans CJK SC"/>
        <family val="2"/>
      </rPr>
      <t xml:space="preserve">，只能靠 </t>
    </r>
    <r>
      <rPr>
        <sz val="10"/>
        <rFont val="Arial"/>
        <family val="0"/>
        <charset val="1"/>
      </rPr>
      <t xml:space="preserve">S/S/D</t>
    </r>
    <r>
      <rPr>
        <sz val="10"/>
        <rFont val="Noto Sans CJK SC"/>
        <family val="2"/>
      </rPr>
      <t xml:space="preserve">；或 </t>
    </r>
    <r>
      <rPr>
        <sz val="10"/>
        <rFont val="Arial"/>
        <family val="0"/>
        <charset val="1"/>
      </rPr>
      <t xml:space="preserve">S/S/D </t>
    </r>
    <r>
      <rPr>
        <sz val="10"/>
        <rFont val="Noto Sans CJK SC"/>
        <family val="2"/>
      </rPr>
      <t xml:space="preserve">与新 </t>
    </r>
    <r>
      <rPr>
        <sz val="10"/>
        <rFont val="Arial"/>
        <family val="0"/>
        <charset val="1"/>
      </rPr>
      <t xml:space="preserve">modifier </t>
    </r>
    <r>
      <rPr>
        <sz val="10"/>
        <rFont val="Noto Sans CJK SC"/>
        <family val="2"/>
      </rPr>
      <t xml:space="preserve">同时给分（</t>
    </r>
    <r>
      <rPr>
        <sz val="10"/>
        <rFont val="Arial"/>
        <family val="0"/>
        <charset val="1"/>
      </rPr>
      <t xml:space="preserve">double count</t>
    </r>
    <r>
      <rPr>
        <sz val="10"/>
        <rFont val="Noto Sans CJK SC"/>
        <family val="2"/>
      </rPr>
      <t xml:space="preserve">）。</t>
    </r>
  </si>
  <si>
    <r>
      <rPr>
        <sz val="10"/>
        <rFont val="Noto Sans CJK SC"/>
        <family val="2"/>
      </rPr>
      <t xml:space="preserve">现行三处归属（</t>
    </r>
    <r>
      <rPr>
        <sz val="10"/>
        <rFont val="Arial"/>
        <family val="0"/>
        <charset val="1"/>
      </rPr>
      <t xml:space="preserve">para 49</t>
    </r>
    <r>
      <rPr>
        <sz val="10"/>
        <rFont val="Noto Sans CJK SC"/>
        <family val="2"/>
      </rPr>
      <t xml:space="preserve">；</t>
    </r>
    <r>
      <rPr>
        <sz val="10"/>
        <rFont val="Arial"/>
        <family val="0"/>
        <charset val="1"/>
      </rPr>
      <t xml:space="preserve">S/S/D paras 217–219</t>
    </r>
    <r>
      <rPr>
        <sz val="10"/>
        <rFont val="Noto Sans CJK SC"/>
        <family val="2"/>
      </rPr>
      <t xml:space="preserve">；</t>
    </r>
    <r>
      <rPr>
        <sz val="10"/>
        <rFont val="Arial"/>
        <family val="0"/>
        <charset val="1"/>
      </rPr>
      <t xml:space="preserve">Diversification modifier </t>
    </r>
    <r>
      <rPr>
        <sz val="10"/>
        <rFont val="Noto Sans CJK SC"/>
        <family val="2"/>
      </rPr>
      <t xml:space="preserve">按 </t>
    </r>
    <r>
      <rPr>
        <sz val="10"/>
        <rFont val="Arial"/>
        <family val="0"/>
        <charset val="1"/>
      </rPr>
      <t xml:space="preserve">business line</t>
    </r>
    <r>
      <rPr>
        <sz val="10"/>
        <rFont val="Noto Sans CJK SC"/>
        <family val="2"/>
      </rPr>
      <t xml:space="preserve">）；</t>
    </r>
    <r>
      <rPr>
        <sz val="10"/>
        <rFont val="Arial"/>
        <family val="0"/>
        <charset val="1"/>
      </rPr>
      <t xml:space="preserve">proposal </t>
    </r>
    <r>
      <rPr>
        <sz val="10"/>
        <rFont val="Noto Sans CJK SC"/>
        <family val="2"/>
      </rPr>
      <t xml:space="preserve">后为 </t>
    </r>
    <r>
      <rPr>
        <sz val="10"/>
        <rFont val="Arial"/>
        <family val="0"/>
        <charset val="1"/>
      </rPr>
      <t xml:space="preserve">S/S/D + </t>
    </r>
    <r>
      <rPr>
        <sz val="10"/>
        <rFont val="Noto Sans CJK SC"/>
        <family val="2"/>
      </rPr>
      <t xml:space="preserve">新 </t>
    </r>
    <r>
      <rPr>
        <sz val="10"/>
        <rFont val="Arial"/>
        <family val="0"/>
        <charset val="1"/>
      </rPr>
      <t xml:space="preserve">modifier table</t>
    </r>
    <r>
      <rPr>
        <sz val="10"/>
        <rFont val="Noto Sans CJK SC"/>
        <family val="2"/>
      </rPr>
      <t xml:space="preserve">。需检查无 </t>
    </r>
    <r>
      <rPr>
        <sz val="10"/>
        <rFont val="Arial"/>
        <family val="0"/>
        <charset val="1"/>
      </rPr>
      <t xml:space="preserve">gap </t>
    </r>
    <r>
      <rPr>
        <sz val="10"/>
        <rFont val="Noto Sans CJK SC"/>
        <family val="2"/>
      </rPr>
      <t xml:space="preserve">与无 </t>
    </r>
    <r>
      <rPr>
        <sz val="10"/>
        <rFont val="Arial"/>
        <family val="0"/>
        <charset val="1"/>
      </rPr>
      <t xml:space="preserve">double count</t>
    </r>
    <r>
      <rPr>
        <sz val="10"/>
        <rFont val="Noto Sans CJK SC"/>
        <family val="2"/>
      </rPr>
      <t xml:space="preserve">。</t>
    </r>
  </si>
  <si>
    <r>
      <rPr>
        <sz val="10"/>
        <rFont val="Noto Sans CJK SC"/>
        <family val="2"/>
      </rPr>
      <t xml:space="preserve">取决于 </t>
    </r>
    <r>
      <rPr>
        <sz val="10"/>
        <rFont val="Arial"/>
        <family val="0"/>
        <charset val="1"/>
      </rPr>
      <t xml:space="preserve">#8 / #11 </t>
    </r>
    <r>
      <rPr>
        <sz val="10"/>
        <rFont val="Noto Sans CJK SC"/>
        <family val="2"/>
      </rPr>
      <t xml:space="preserve">定稿。</t>
    </r>
  </si>
  <si>
    <r>
      <rPr>
        <sz val="10"/>
        <rFont val="Arial"/>
        <family val="0"/>
        <charset val="1"/>
      </rPr>
      <t xml:space="preserve">#8 / #11 </t>
    </r>
    <r>
      <rPr>
        <sz val="10"/>
        <rFont val="Noto Sans CJK SC"/>
        <family val="2"/>
      </rPr>
      <t xml:space="preserve">的 </t>
    </r>
    <r>
      <rPr>
        <sz val="10"/>
        <rFont val="Arial"/>
        <family val="0"/>
        <charset val="1"/>
      </rPr>
      <t xml:space="preserve">draft</t>
    </r>
    <r>
      <rPr>
        <sz val="10"/>
        <rFont val="Noto Sans CJK SC"/>
        <family val="2"/>
      </rPr>
      <t xml:space="preserve">；</t>
    </r>
    <r>
      <rPr>
        <sz val="10"/>
        <rFont val="Arial"/>
        <family val="0"/>
        <charset val="1"/>
      </rPr>
      <t xml:space="preserve">S/S/D </t>
    </r>
    <r>
      <rPr>
        <sz val="10"/>
        <rFont val="Noto Sans CJK SC"/>
        <family val="2"/>
      </rPr>
      <t xml:space="preserve">的 </t>
    </r>
    <r>
      <rPr>
        <sz val="10"/>
        <rFont val="Arial"/>
        <family val="0"/>
        <charset val="1"/>
      </rPr>
      <t xml:space="preserve">draft </t>
    </r>
    <r>
      <rPr>
        <sz val="10"/>
        <rFont val="Noto Sans CJK SC"/>
        <family val="2"/>
      </rPr>
      <t xml:space="preserve">措辞。</t>
    </r>
  </si>
  <si>
    <r>
      <rPr>
        <sz val="10"/>
        <rFont val="Noto Sans CJK SC"/>
        <family val="2"/>
      </rPr>
      <t xml:space="preserve">待其他 </t>
    </r>
    <r>
      <rPr>
        <sz val="10"/>
        <rFont val="Arial"/>
        <family val="0"/>
        <charset val="1"/>
      </rPr>
      <t xml:space="preserve">change</t>
    </r>
    <r>
      <rPr>
        <sz val="10"/>
        <rFont val="Noto Sans CJK SC"/>
        <family val="2"/>
      </rPr>
      <t xml:space="preserve">。</t>
    </r>
  </si>
  <si>
    <r>
      <rPr>
        <b val="true"/>
        <sz val="13"/>
        <rFont val="Noto Sans CJK SC"/>
        <family val="2"/>
      </rPr>
      <t xml:space="preserve">题 </t>
    </r>
    <r>
      <rPr>
        <b val="true"/>
        <sz val="13"/>
        <rFont val="Arial"/>
        <family val="0"/>
        <charset val="1"/>
      </rPr>
      <t xml:space="preserve">7 — Sensitivity</t>
    </r>
    <r>
      <rPr>
        <b val="true"/>
        <sz val="13"/>
        <rFont val="Noto Sans CJK SC"/>
        <family val="2"/>
      </rPr>
      <t xml:space="preserve">：</t>
    </r>
    <r>
      <rPr>
        <b val="true"/>
        <sz val="13"/>
        <rFont val="Arial"/>
        <family val="0"/>
        <charset val="1"/>
      </rPr>
      <t xml:space="preserve">country risk </t>
    </r>
    <r>
      <rPr>
        <b val="true"/>
        <sz val="13"/>
        <rFont val="Noto Sans CJK SC"/>
        <family val="2"/>
      </rPr>
      <t xml:space="preserve">恶化一个 </t>
    </r>
    <r>
      <rPr>
        <b val="true"/>
        <sz val="13"/>
        <rFont val="Arial"/>
        <family val="0"/>
        <charset val="1"/>
      </rPr>
      <t xml:space="preserve">category </t>
    </r>
    <r>
      <rPr>
        <b val="true"/>
        <sz val="13"/>
        <rFont val="Noto Sans CJK SC"/>
        <family val="2"/>
      </rPr>
      <t xml:space="preserve">经 </t>
    </r>
    <r>
      <rPr>
        <b val="true"/>
        <sz val="13"/>
        <rFont val="Arial"/>
        <family val="0"/>
        <charset val="1"/>
      </rPr>
      <t xml:space="preserve">Table 1 → Table 2 → Table 3 </t>
    </r>
    <r>
      <rPr>
        <b val="true"/>
        <sz val="13"/>
        <rFont val="Noto Sans CJK SC"/>
        <family val="2"/>
      </rPr>
      <t xml:space="preserve">的传导</t>
    </r>
  </si>
  <si>
    <r>
      <rPr>
        <i val="true"/>
        <sz val="9"/>
        <color rgb="FF555555"/>
        <rFont val="Noto Sans CJK SC"/>
        <family val="2"/>
      </rPr>
      <t xml:space="preserve">蓝色数字为 </t>
    </r>
    <r>
      <rPr>
        <i val="true"/>
        <sz val="9"/>
        <color rgb="FF555555"/>
        <rFont val="Arial"/>
        <family val="0"/>
        <charset val="1"/>
      </rPr>
      <t xml:space="preserve">input</t>
    </r>
    <r>
      <rPr>
        <i val="true"/>
        <sz val="9"/>
        <color rgb="FF555555"/>
        <rFont val="Noto Sans CJK SC"/>
        <family val="2"/>
      </rPr>
      <t xml:space="preserve">（抄自 </t>
    </r>
    <r>
      <rPr>
        <i val="true"/>
        <sz val="9"/>
        <color rgb="FF555555"/>
        <rFont val="Arial"/>
        <family val="0"/>
        <charset val="1"/>
      </rPr>
      <t xml:space="preserve">Corporate Methodology 2024-01-07 Table 1 / 2 / 3</t>
    </r>
    <r>
      <rPr>
        <i val="true"/>
        <sz val="9"/>
        <color rgb="FF555555"/>
        <rFont val="Noto Sans CJK SC"/>
        <family val="2"/>
      </rPr>
      <t xml:space="preserve">）；黑色为公式。改动 </t>
    </r>
    <r>
      <rPr>
        <i val="true"/>
        <sz val="9"/>
        <color rgb="FF555555"/>
        <rFont val="Arial"/>
        <family val="0"/>
        <charset val="1"/>
      </rPr>
      <t xml:space="preserve">input grid </t>
    </r>
    <r>
      <rPr>
        <i val="true"/>
        <sz val="9"/>
        <color rgb="FF555555"/>
        <rFont val="Noto Sans CJK SC"/>
        <family val="2"/>
      </rPr>
      <t xml:space="preserve">后公式自动重算。</t>
    </r>
  </si>
  <si>
    <r>
      <rPr>
        <b val="true"/>
        <sz val="10"/>
        <rFont val="Arial"/>
        <family val="0"/>
        <charset val="1"/>
      </rPr>
      <t xml:space="preserve">Table 1 — CICRA</t>
    </r>
    <r>
      <rPr>
        <b val="true"/>
        <sz val="10"/>
        <rFont val="Noto Sans CJK SC"/>
        <family val="2"/>
      </rPr>
      <t xml:space="preserve">（</t>
    </r>
    <r>
      <rPr>
        <b val="true"/>
        <sz val="10"/>
        <rFont val="Arial"/>
        <family val="0"/>
        <charset val="1"/>
      </rPr>
      <t xml:space="preserve">input</t>
    </r>
    <r>
      <rPr>
        <b val="true"/>
        <sz val="10"/>
        <rFont val="Noto Sans CJK SC"/>
        <family val="2"/>
      </rPr>
      <t xml:space="preserve">）</t>
    </r>
  </si>
  <si>
    <t xml:space="preserve">Source: Corporate Methodology, Jan. 7, 2024, Table 1</t>
  </si>
  <si>
    <t xml:space="preserve">IR \ CR</t>
  </si>
  <si>
    <r>
      <rPr>
        <b val="true"/>
        <sz val="10"/>
        <rFont val="Arial"/>
        <family val="0"/>
        <charset val="1"/>
      </rPr>
      <t xml:space="preserve">CICRA </t>
    </r>
    <r>
      <rPr>
        <b val="true"/>
        <sz val="10"/>
        <rFont val="Noto Sans CJK SC"/>
        <family val="2"/>
      </rPr>
      <t xml:space="preserve">变动：</t>
    </r>
    <r>
      <rPr>
        <b val="true"/>
        <sz val="10"/>
        <rFont val="Arial"/>
        <family val="0"/>
        <charset val="1"/>
      </rPr>
      <t xml:space="preserve">country risk </t>
    </r>
    <r>
      <rPr>
        <b val="true"/>
        <sz val="10"/>
        <rFont val="Noto Sans CJK SC"/>
        <family val="2"/>
      </rPr>
      <t xml:space="preserve">恶化一个 </t>
    </r>
    <r>
      <rPr>
        <b val="true"/>
        <sz val="10"/>
        <rFont val="Arial"/>
        <family val="0"/>
        <charset val="1"/>
      </rPr>
      <t xml:space="preserve">category</t>
    </r>
    <r>
      <rPr>
        <b val="true"/>
        <sz val="10"/>
        <rFont val="Noto Sans CJK SC"/>
        <family val="2"/>
      </rPr>
      <t xml:space="preserve">（</t>
    </r>
    <r>
      <rPr>
        <b val="true"/>
        <sz val="10"/>
        <rFont val="Arial"/>
        <family val="0"/>
        <charset val="1"/>
      </rPr>
      <t xml:space="preserve">rows</t>
    </r>
    <r>
      <rPr>
        <b val="true"/>
        <sz val="10"/>
        <rFont val="Noto Sans CJK SC"/>
        <family val="2"/>
      </rPr>
      <t xml:space="preserve">：</t>
    </r>
    <r>
      <rPr>
        <b val="true"/>
        <sz val="10"/>
        <rFont val="Arial"/>
        <family val="0"/>
        <charset val="1"/>
      </rPr>
      <t xml:space="preserve">IR</t>
    </r>
    <r>
      <rPr>
        <b val="true"/>
        <sz val="10"/>
        <rFont val="Noto Sans CJK SC"/>
        <family val="2"/>
      </rPr>
      <t xml:space="preserve">；</t>
    </r>
    <r>
      <rPr>
        <b val="true"/>
        <sz val="10"/>
        <rFont val="Arial"/>
        <family val="0"/>
        <charset val="1"/>
      </rPr>
      <t xml:space="preserve">columns</t>
    </r>
    <r>
      <rPr>
        <b val="true"/>
        <sz val="10"/>
        <rFont val="Noto Sans CJK SC"/>
        <family val="2"/>
      </rPr>
      <t xml:space="preserve">：</t>
    </r>
    <r>
      <rPr>
        <b val="true"/>
        <sz val="10"/>
        <rFont val="Arial"/>
        <family val="0"/>
        <charset val="1"/>
      </rPr>
      <t xml:space="preserve">CR transition</t>
    </r>
    <r>
      <rPr>
        <b val="true"/>
        <sz val="10"/>
        <rFont val="Noto Sans CJK SC"/>
        <family val="2"/>
      </rPr>
      <t xml:space="preserve">）</t>
    </r>
  </si>
  <si>
    <t xml:space="preserve">1→2</t>
  </si>
  <si>
    <t xml:space="preserve">2→3</t>
  </si>
  <si>
    <t xml:space="preserve">3→4</t>
  </si>
  <si>
    <t xml:space="preserve">4→5</t>
  </si>
  <si>
    <t xml:space="preserve">5→6</t>
  </si>
  <si>
    <t xml:space="preserve">Max</t>
  </si>
  <si>
    <r>
      <rPr>
        <b val="true"/>
        <sz val="10"/>
        <rFont val="Arial"/>
        <family val="0"/>
        <charset val="1"/>
      </rPr>
      <t xml:space="preserve">Max</t>
    </r>
    <r>
      <rPr>
        <b val="true"/>
        <sz val="10"/>
        <rFont val="Noto Sans CJK SC"/>
        <family val="2"/>
      </rPr>
      <t xml:space="preserve">（全表）</t>
    </r>
  </si>
  <si>
    <r>
      <rPr>
        <b val="true"/>
        <sz val="10"/>
        <rFont val="Arial"/>
        <family val="0"/>
        <charset val="1"/>
      </rPr>
      <t xml:space="preserve">Table 2 — BRP</t>
    </r>
    <r>
      <rPr>
        <b val="true"/>
        <sz val="10"/>
        <rFont val="Noto Sans CJK SC"/>
        <family val="2"/>
      </rPr>
      <t xml:space="preserve">（</t>
    </r>
    <r>
      <rPr>
        <b val="true"/>
        <sz val="10"/>
        <rFont val="Arial"/>
        <family val="0"/>
        <charset val="1"/>
      </rPr>
      <t xml:space="preserve">input</t>
    </r>
    <r>
      <rPr>
        <b val="true"/>
        <sz val="10"/>
        <rFont val="Noto Sans CJK SC"/>
        <family val="2"/>
      </rPr>
      <t xml:space="preserve">）</t>
    </r>
  </si>
  <si>
    <r>
      <rPr>
        <i val="true"/>
        <sz val="9"/>
        <color rgb="FF555555"/>
        <rFont val="Arial"/>
        <family val="0"/>
        <charset val="1"/>
      </rPr>
      <t xml:space="preserve">Source: Corporate Methodology, Jan. 7, 2024, Table 2</t>
    </r>
    <r>
      <rPr>
        <i val="true"/>
        <sz val="9"/>
        <color rgb="FF555555"/>
        <rFont val="Noto Sans CJK SC"/>
        <family val="2"/>
      </rPr>
      <t xml:space="preserve">（脚注 </t>
    </r>
    <r>
      <rPr>
        <i val="true"/>
        <sz val="9"/>
        <color rgb="FF555555"/>
        <rFont val="Arial"/>
        <family val="0"/>
        <charset val="1"/>
      </rPr>
      <t xml:space="preserve">para 26 exception </t>
    </r>
    <r>
      <rPr>
        <i val="true"/>
        <sz val="9"/>
        <color rgb="FF555555"/>
        <rFont val="Noto Sans CJK SC"/>
        <family val="2"/>
      </rPr>
      <t xml:space="preserve">未反映）</t>
    </r>
  </si>
  <si>
    <t xml:space="preserve">CP \ CICRA</t>
  </si>
  <si>
    <r>
      <rPr>
        <b val="true"/>
        <sz val="10"/>
        <rFont val="Arial"/>
        <family val="0"/>
        <charset val="1"/>
      </rPr>
      <t xml:space="preserve">BRP </t>
    </r>
    <r>
      <rPr>
        <b val="true"/>
        <sz val="10"/>
        <rFont val="Noto Sans CJK SC"/>
        <family val="2"/>
      </rPr>
      <t xml:space="preserve">变动：</t>
    </r>
    <r>
      <rPr>
        <b val="true"/>
        <sz val="10"/>
        <rFont val="Arial"/>
        <family val="0"/>
        <charset val="1"/>
      </rPr>
      <t xml:space="preserve">CICRA </t>
    </r>
    <r>
      <rPr>
        <b val="true"/>
        <sz val="10"/>
        <rFont val="Noto Sans CJK SC"/>
        <family val="2"/>
      </rPr>
      <t xml:space="preserve">恶化一个 </t>
    </r>
    <r>
      <rPr>
        <b val="true"/>
        <sz val="10"/>
        <rFont val="Arial"/>
        <family val="0"/>
        <charset val="1"/>
      </rPr>
      <t xml:space="preserve">category</t>
    </r>
    <r>
      <rPr>
        <b val="true"/>
        <sz val="10"/>
        <rFont val="Noto Sans CJK SC"/>
        <family val="2"/>
      </rPr>
      <t xml:space="preserve">（</t>
    </r>
    <r>
      <rPr>
        <b val="true"/>
        <sz val="10"/>
        <rFont val="Arial"/>
        <family val="0"/>
        <charset val="1"/>
      </rPr>
      <t xml:space="preserve">rows</t>
    </r>
    <r>
      <rPr>
        <b val="true"/>
        <sz val="10"/>
        <rFont val="Noto Sans CJK SC"/>
        <family val="2"/>
      </rPr>
      <t xml:space="preserve">：</t>
    </r>
    <r>
      <rPr>
        <b val="true"/>
        <sz val="10"/>
        <rFont val="Arial"/>
        <family val="0"/>
        <charset val="1"/>
      </rPr>
      <t xml:space="preserve">CP</t>
    </r>
    <r>
      <rPr>
        <b val="true"/>
        <sz val="10"/>
        <rFont val="Noto Sans CJK SC"/>
        <family val="2"/>
      </rPr>
      <t xml:space="preserve">；</t>
    </r>
    <r>
      <rPr>
        <b val="true"/>
        <sz val="10"/>
        <rFont val="Arial"/>
        <family val="0"/>
        <charset val="1"/>
      </rPr>
      <t xml:space="preserve">columns</t>
    </r>
    <r>
      <rPr>
        <b val="true"/>
        <sz val="10"/>
        <rFont val="Noto Sans CJK SC"/>
        <family val="2"/>
      </rPr>
      <t xml:space="preserve">：</t>
    </r>
    <r>
      <rPr>
        <b val="true"/>
        <sz val="10"/>
        <rFont val="Arial"/>
        <family val="0"/>
        <charset val="1"/>
      </rPr>
      <t xml:space="preserve">CICRA transition</t>
    </r>
    <r>
      <rPr>
        <b val="true"/>
        <sz val="10"/>
        <rFont val="Noto Sans CJK SC"/>
        <family val="2"/>
      </rPr>
      <t xml:space="preserve">）</t>
    </r>
  </si>
  <si>
    <r>
      <rPr>
        <b val="true"/>
        <sz val="10"/>
        <rFont val="Arial"/>
        <family val="0"/>
        <charset val="1"/>
      </rPr>
      <t xml:space="preserve">Table 3 — Anchor</t>
    </r>
    <r>
      <rPr>
        <b val="true"/>
        <sz val="10"/>
        <rFont val="Noto Sans CJK SC"/>
        <family val="2"/>
      </rPr>
      <t xml:space="preserve">（</t>
    </r>
    <r>
      <rPr>
        <b val="true"/>
        <sz val="10"/>
        <rFont val="Arial"/>
        <family val="0"/>
        <charset val="1"/>
      </rPr>
      <t xml:space="preserve">text</t>
    </r>
    <r>
      <rPr>
        <b val="true"/>
        <sz val="10"/>
        <rFont val="Noto Sans CJK SC"/>
        <family val="2"/>
      </rPr>
      <t xml:space="preserve">，</t>
    </r>
    <r>
      <rPr>
        <b val="true"/>
        <sz val="10"/>
        <rFont val="Arial"/>
        <family val="0"/>
        <charset val="1"/>
      </rPr>
      <t xml:space="preserve">input</t>
    </r>
    <r>
      <rPr>
        <b val="true"/>
        <sz val="10"/>
        <rFont val="Noto Sans CJK SC"/>
        <family val="2"/>
      </rPr>
      <t xml:space="preserve">）</t>
    </r>
  </si>
  <si>
    <r>
      <rPr>
        <i val="true"/>
        <sz val="9"/>
        <color rgb="FF555555"/>
        <rFont val="Arial"/>
        <family val="0"/>
        <charset val="1"/>
      </rPr>
      <t xml:space="preserve">Source: Corporate Methodology, Jan. 7, 2024, Table 3</t>
    </r>
    <r>
      <rPr>
        <i val="true"/>
        <sz val="9"/>
        <color rgb="FF555555"/>
        <rFont val="Noto Sans CJK SC"/>
        <family val="2"/>
      </rPr>
      <t xml:space="preserve">；两个结果时按 </t>
    </r>
    <r>
      <rPr>
        <i val="true"/>
        <sz val="9"/>
        <color rgb="FF555555"/>
        <rFont val="Arial"/>
        <family val="0"/>
        <charset val="1"/>
      </rPr>
      <t xml:space="preserve">para 30 </t>
    </r>
    <r>
      <rPr>
        <i val="true"/>
        <sz val="9"/>
        <color rgb="FF555555"/>
        <rFont val="Noto Sans CJK SC"/>
        <family val="2"/>
      </rPr>
      <t xml:space="preserve">取上端或下端</t>
    </r>
  </si>
  <si>
    <t xml:space="preserve">BRP \ FRP</t>
  </si>
  <si>
    <t xml:space="preserve">aaa/aa+</t>
  </si>
  <si>
    <t xml:space="preserve">aa</t>
  </si>
  <si>
    <t xml:space="preserve">a+/a</t>
  </si>
  <si>
    <t xml:space="preserve">a-</t>
  </si>
  <si>
    <t xml:space="preserve">bbb</t>
  </si>
  <si>
    <t xml:space="preserve">bbb-/bb+</t>
  </si>
  <si>
    <t xml:space="preserve">aa/aa-</t>
  </si>
  <si>
    <t xml:space="preserve">a-/bbb+</t>
  </si>
  <si>
    <t xml:space="preserve">bb+</t>
  </si>
  <si>
    <t xml:space="preserve">bb</t>
  </si>
  <si>
    <t xml:space="preserve">a/a-</t>
  </si>
  <si>
    <t xml:space="preserve">bbb+</t>
  </si>
  <si>
    <t xml:space="preserve">bbb/bbb-</t>
  </si>
  <si>
    <t xml:space="preserve">b+</t>
  </si>
  <si>
    <t xml:space="preserve">bbb-</t>
  </si>
  <si>
    <t xml:space="preserve">bb-</t>
  </si>
  <si>
    <t xml:space="preserve">b</t>
  </si>
  <si>
    <t xml:space="preserve">b/b-</t>
  </si>
  <si>
    <t xml:space="preserve">bb-/b+</t>
  </si>
  <si>
    <t xml:space="preserve">b-</t>
  </si>
  <si>
    <r>
      <rPr>
        <b val="true"/>
        <sz val="10"/>
        <rFont val="Arial"/>
        <family val="0"/>
        <charset val="1"/>
      </rPr>
      <t xml:space="preserve">Table 3 numeric — </t>
    </r>
    <r>
      <rPr>
        <b val="true"/>
        <sz val="10"/>
        <rFont val="Noto Sans CJK SC"/>
        <family val="2"/>
      </rPr>
      <t xml:space="preserve">上端 </t>
    </r>
    <r>
      <rPr>
        <b val="true"/>
        <sz val="10"/>
        <rFont val="Arial"/>
        <family val="0"/>
        <charset val="1"/>
      </rPr>
      <t xml:space="preserve">anchor </t>
    </r>
    <r>
      <rPr>
        <b val="true"/>
        <sz val="10"/>
        <rFont val="Noto Sans CJK SC"/>
        <family val="2"/>
      </rPr>
      <t xml:space="preserve">的 </t>
    </r>
    <r>
      <rPr>
        <b val="true"/>
        <sz val="10"/>
        <rFont val="Arial"/>
        <family val="0"/>
        <charset val="1"/>
      </rPr>
      <t xml:space="preserve">notch score</t>
    </r>
    <r>
      <rPr>
        <b val="true"/>
        <sz val="10"/>
        <rFont val="Noto Sans CJK SC"/>
        <family val="2"/>
      </rPr>
      <t xml:space="preserve">（</t>
    </r>
    <r>
      <rPr>
        <b val="true"/>
        <sz val="10"/>
        <rFont val="Arial"/>
        <family val="0"/>
        <charset val="1"/>
      </rPr>
      <t xml:space="preserve">input</t>
    </r>
    <r>
      <rPr>
        <b val="true"/>
        <sz val="10"/>
        <rFont val="Noto Sans CJK SC"/>
        <family val="2"/>
      </rPr>
      <t xml:space="preserve">；</t>
    </r>
    <r>
      <rPr>
        <b val="true"/>
        <sz val="10"/>
        <rFont val="Arial"/>
        <family val="0"/>
        <charset val="1"/>
      </rPr>
      <t xml:space="preserve">aaa=20 … b-=5</t>
    </r>
    <r>
      <rPr>
        <b val="true"/>
        <sz val="10"/>
        <rFont val="Noto Sans CJK SC"/>
        <family val="2"/>
      </rPr>
      <t xml:space="preserve">）</t>
    </r>
  </si>
  <si>
    <r>
      <rPr>
        <b val="true"/>
        <sz val="10"/>
        <rFont val="Arial"/>
        <family val="0"/>
        <charset val="1"/>
      </rPr>
      <t xml:space="preserve">Table 3 numeric — </t>
    </r>
    <r>
      <rPr>
        <b val="true"/>
        <sz val="10"/>
        <rFont val="Noto Sans CJK SC"/>
        <family val="2"/>
      </rPr>
      <t xml:space="preserve">下端 </t>
    </r>
    <r>
      <rPr>
        <b val="true"/>
        <sz val="10"/>
        <rFont val="Arial"/>
        <family val="0"/>
        <charset val="1"/>
      </rPr>
      <t xml:space="preserve">anchor </t>
    </r>
    <r>
      <rPr>
        <b val="true"/>
        <sz val="10"/>
        <rFont val="Noto Sans CJK SC"/>
        <family val="2"/>
      </rPr>
      <t xml:space="preserve">的 </t>
    </r>
    <r>
      <rPr>
        <b val="true"/>
        <sz val="10"/>
        <rFont val="Arial"/>
        <family val="0"/>
        <charset val="1"/>
      </rPr>
      <t xml:space="preserve">notch score</t>
    </r>
    <r>
      <rPr>
        <b val="true"/>
        <sz val="10"/>
        <rFont val="Noto Sans CJK SC"/>
        <family val="2"/>
      </rPr>
      <t xml:space="preserve">（</t>
    </r>
    <r>
      <rPr>
        <b val="true"/>
        <sz val="10"/>
        <rFont val="Arial"/>
        <family val="0"/>
        <charset val="1"/>
      </rPr>
      <t xml:space="preserve">input</t>
    </r>
    <r>
      <rPr>
        <b val="true"/>
        <sz val="10"/>
        <rFont val="Noto Sans CJK SC"/>
        <family val="2"/>
      </rPr>
      <t xml:space="preserve">）</t>
    </r>
  </si>
  <si>
    <r>
      <rPr>
        <b val="true"/>
        <sz val="10"/>
        <rFont val="Arial"/>
        <family val="0"/>
        <charset val="1"/>
      </rPr>
      <t xml:space="preserve">Notch scale</t>
    </r>
    <r>
      <rPr>
        <b val="true"/>
        <sz val="10"/>
        <rFont val="Noto Sans CJK SC"/>
        <family val="2"/>
      </rPr>
      <t xml:space="preserve">（</t>
    </r>
    <r>
      <rPr>
        <b val="true"/>
        <sz val="10"/>
        <rFont val="Arial"/>
        <family val="0"/>
        <charset val="1"/>
      </rPr>
      <t xml:space="preserve">input</t>
    </r>
    <r>
      <rPr>
        <b val="true"/>
        <sz val="10"/>
        <rFont val="Noto Sans CJK SC"/>
        <family val="2"/>
      </rPr>
      <t xml:space="preserve">）</t>
    </r>
  </si>
  <si>
    <t xml:space="preserve">Anchor</t>
  </si>
  <si>
    <t xml:space="preserve">Score</t>
  </si>
  <si>
    <t xml:space="preserve">aaa</t>
  </si>
  <si>
    <t xml:space="preserve">aa+</t>
  </si>
  <si>
    <t xml:space="preserve">aa-</t>
  </si>
  <si>
    <t xml:space="preserve">a+</t>
  </si>
  <si>
    <t xml:space="preserve">a</t>
  </si>
  <si>
    <r>
      <rPr>
        <b val="true"/>
        <sz val="10"/>
        <rFont val="Noto Sans CJK SC"/>
        <family val="2"/>
      </rPr>
      <t xml:space="preserve">传导链：</t>
    </r>
    <r>
      <rPr>
        <b val="true"/>
        <sz val="10"/>
        <rFont val="Arial"/>
        <family val="0"/>
        <charset val="1"/>
      </rPr>
      <t xml:space="preserve">country risk </t>
    </r>
    <r>
      <rPr>
        <b val="true"/>
        <sz val="10"/>
        <rFont val="Noto Sans CJK SC"/>
        <family val="2"/>
      </rPr>
      <t xml:space="preserve">恶化一个 </t>
    </r>
    <r>
      <rPr>
        <b val="true"/>
        <sz val="10"/>
        <rFont val="Arial"/>
        <family val="0"/>
        <charset val="1"/>
      </rPr>
      <t xml:space="preserve">category → CICRA → BRP → anchor</t>
    </r>
    <r>
      <rPr>
        <b val="true"/>
        <sz val="10"/>
        <rFont val="Noto Sans CJK SC"/>
        <family val="2"/>
      </rPr>
      <t xml:space="preserve">（公式）</t>
    </r>
  </si>
  <si>
    <t xml:space="preserve">Case</t>
  </si>
  <si>
    <t xml:space="preserve">IR</t>
  </si>
  <si>
    <t xml:space="preserve">CR before</t>
  </si>
  <si>
    <t xml:space="preserve">CR after</t>
  </si>
  <si>
    <t xml:space="preserve">CP</t>
  </si>
  <si>
    <t xml:space="preserve">FRP</t>
  </si>
  <si>
    <t xml:space="preserve">CICRA before</t>
  </si>
  <si>
    <t xml:space="preserve">CICRA after</t>
  </si>
  <si>
    <t xml:space="preserve">BRP before</t>
  </si>
  <si>
    <t xml:space="preserve">BRP after</t>
  </si>
  <si>
    <t xml:space="preserve">Anchor before</t>
  </si>
  <si>
    <t xml:space="preserve">Anchor after</t>
  </si>
  <si>
    <t xml:space="preserve">Max notch drop</t>
  </si>
  <si>
    <t xml:space="preserve">Min notch drop</t>
  </si>
  <si>
    <r>
      <rPr>
        <sz val="10"/>
        <rFont val="Noto Sans CJK SC"/>
        <family val="2"/>
      </rPr>
      <t xml:space="preserve">最坏链条（</t>
    </r>
    <r>
      <rPr>
        <sz val="10"/>
        <rFont val="Arial"/>
        <family val="0"/>
        <charset val="1"/>
      </rPr>
      <t xml:space="preserve">IR 3</t>
    </r>
    <r>
      <rPr>
        <sz val="10"/>
        <rFont val="Noto Sans CJK SC"/>
        <family val="2"/>
      </rPr>
      <t xml:space="preserve">，</t>
    </r>
    <r>
      <rPr>
        <sz val="10"/>
        <rFont val="Arial"/>
        <family val="0"/>
        <charset val="1"/>
      </rPr>
      <t xml:space="preserve">CR 5→6</t>
    </r>
    <r>
      <rPr>
        <sz val="10"/>
        <rFont val="Noto Sans CJK SC"/>
        <family val="2"/>
      </rPr>
      <t xml:space="preserve">，</t>
    </r>
    <r>
      <rPr>
        <sz val="10"/>
        <rFont val="Arial"/>
        <family val="0"/>
        <charset val="1"/>
      </rPr>
      <t xml:space="preserve">CP 1</t>
    </r>
    <r>
      <rPr>
        <sz val="10"/>
        <rFont val="Noto Sans CJK SC"/>
        <family val="2"/>
      </rPr>
      <t xml:space="preserve">，</t>
    </r>
    <r>
      <rPr>
        <sz val="10"/>
        <rFont val="Arial"/>
        <family val="0"/>
        <charset val="1"/>
      </rPr>
      <t xml:space="preserve">FRP 1</t>
    </r>
    <r>
      <rPr>
        <sz val="10"/>
        <rFont val="Noto Sans CJK SC"/>
        <family val="2"/>
      </rPr>
      <t xml:space="preserve">）</t>
    </r>
  </si>
  <si>
    <r>
      <rPr>
        <sz val="10"/>
        <rFont val="Noto Sans CJK SC"/>
        <family val="2"/>
      </rPr>
      <t xml:space="preserve">最坏链条（</t>
    </r>
    <r>
      <rPr>
        <sz val="10"/>
        <rFont val="Arial"/>
        <family val="0"/>
        <charset val="1"/>
      </rPr>
      <t xml:space="preserve">IR 3</t>
    </r>
    <r>
      <rPr>
        <sz val="10"/>
        <rFont val="Noto Sans CJK SC"/>
        <family val="2"/>
      </rPr>
      <t xml:space="preserve">，</t>
    </r>
    <r>
      <rPr>
        <sz val="10"/>
        <rFont val="Arial"/>
        <family val="0"/>
        <charset val="1"/>
      </rPr>
      <t xml:space="preserve">CR 5→6</t>
    </r>
    <r>
      <rPr>
        <sz val="10"/>
        <rFont val="Noto Sans CJK SC"/>
        <family val="2"/>
      </rPr>
      <t xml:space="preserve">，</t>
    </r>
    <r>
      <rPr>
        <sz val="10"/>
        <rFont val="Arial"/>
        <family val="0"/>
        <charset val="1"/>
      </rPr>
      <t xml:space="preserve">CP 3</t>
    </r>
    <r>
      <rPr>
        <sz val="10"/>
        <rFont val="Noto Sans CJK SC"/>
        <family val="2"/>
      </rPr>
      <t xml:space="preserve">，</t>
    </r>
    <r>
      <rPr>
        <sz val="10"/>
        <rFont val="Arial"/>
        <family val="0"/>
        <charset val="1"/>
      </rPr>
      <t xml:space="preserve">FRP 1</t>
    </r>
    <r>
      <rPr>
        <sz val="10"/>
        <rFont val="Noto Sans CJK SC"/>
        <family val="2"/>
      </rPr>
      <t xml:space="preserve">）</t>
    </r>
  </si>
  <si>
    <r>
      <rPr>
        <sz val="10"/>
        <rFont val="Arial"/>
        <family val="0"/>
        <charset val="1"/>
      </rPr>
      <t xml:space="preserve">IR 3</t>
    </r>
    <r>
      <rPr>
        <sz val="10"/>
        <rFont val="Noto Sans CJK SC"/>
        <family val="2"/>
      </rPr>
      <t xml:space="preserve">，</t>
    </r>
    <r>
      <rPr>
        <sz val="10"/>
        <rFont val="Arial"/>
        <family val="0"/>
        <charset val="1"/>
      </rPr>
      <t xml:space="preserve">CR 5→6</t>
    </r>
    <r>
      <rPr>
        <sz val="10"/>
        <rFont val="Noto Sans CJK SC"/>
        <family val="2"/>
      </rPr>
      <t xml:space="preserve">，</t>
    </r>
    <r>
      <rPr>
        <sz val="10"/>
        <rFont val="Arial"/>
        <family val="0"/>
        <charset val="1"/>
      </rPr>
      <t xml:space="preserve">CP 3</t>
    </r>
    <r>
      <rPr>
        <sz val="10"/>
        <rFont val="Noto Sans CJK SC"/>
        <family val="2"/>
      </rPr>
      <t xml:space="preserve">，</t>
    </r>
    <r>
      <rPr>
        <sz val="10"/>
        <rFont val="Arial"/>
        <family val="0"/>
        <charset val="1"/>
      </rPr>
      <t xml:space="preserve">FRP 3</t>
    </r>
  </si>
  <si>
    <r>
      <rPr>
        <sz val="10"/>
        <rFont val="Arial"/>
        <family val="0"/>
        <charset val="1"/>
      </rPr>
      <t xml:space="preserve">IR 1 </t>
    </r>
    <r>
      <rPr>
        <sz val="10"/>
        <rFont val="Noto Sans CJK SC"/>
        <family val="2"/>
      </rPr>
      <t xml:space="preserve">的 </t>
    </r>
    <r>
      <rPr>
        <sz val="10"/>
        <rFont val="Arial"/>
        <family val="0"/>
        <charset val="1"/>
      </rPr>
      <t xml:space="preserve">CR 4→5</t>
    </r>
  </si>
  <si>
    <r>
      <rPr>
        <sz val="10"/>
        <rFont val="Arial"/>
        <family val="0"/>
        <charset val="1"/>
      </rPr>
      <t xml:space="preserve">IR 1 </t>
    </r>
    <r>
      <rPr>
        <sz val="10"/>
        <rFont val="Noto Sans CJK SC"/>
        <family val="2"/>
      </rPr>
      <t xml:space="preserve">的 </t>
    </r>
    <r>
      <rPr>
        <sz val="10"/>
        <rFont val="Arial"/>
        <family val="0"/>
        <charset val="1"/>
      </rPr>
      <t xml:space="preserve">CR 4→5</t>
    </r>
    <r>
      <rPr>
        <sz val="10"/>
        <rFont val="Noto Sans CJK SC"/>
        <family val="2"/>
      </rPr>
      <t xml:space="preserve">，</t>
    </r>
    <r>
      <rPr>
        <sz val="10"/>
        <rFont val="Arial"/>
        <family val="0"/>
        <charset val="1"/>
      </rPr>
      <t xml:space="preserve">CP 2</t>
    </r>
  </si>
  <si>
    <r>
      <rPr>
        <sz val="10"/>
        <rFont val="Arial"/>
        <family val="0"/>
        <charset val="1"/>
      </rPr>
      <t xml:space="preserve">IR 3 </t>
    </r>
    <r>
      <rPr>
        <sz val="10"/>
        <rFont val="Noto Sans CJK SC"/>
        <family val="2"/>
      </rPr>
      <t xml:space="preserve">的 </t>
    </r>
    <r>
      <rPr>
        <sz val="10"/>
        <rFont val="Arial"/>
        <family val="0"/>
        <charset val="1"/>
      </rPr>
      <t xml:space="preserve">CR 5→6</t>
    </r>
    <r>
      <rPr>
        <sz val="10"/>
        <rFont val="Noto Sans CJK SC"/>
        <family val="2"/>
      </rPr>
      <t xml:space="preserve">，</t>
    </r>
    <r>
      <rPr>
        <sz val="10"/>
        <rFont val="Arial"/>
        <family val="0"/>
        <charset val="1"/>
      </rPr>
      <t xml:space="preserve">CP 1</t>
    </r>
  </si>
  <si>
    <r>
      <rPr>
        <sz val="10"/>
        <rFont val="Noto Sans CJK SC"/>
        <family val="2"/>
      </rPr>
      <t xml:space="preserve">典型单步：</t>
    </r>
    <r>
      <rPr>
        <sz val="10"/>
        <rFont val="Arial"/>
        <family val="0"/>
        <charset val="1"/>
      </rPr>
      <t xml:space="preserve">IR 2 </t>
    </r>
    <r>
      <rPr>
        <sz val="10"/>
        <rFont val="Noto Sans CJK SC"/>
        <family val="2"/>
      </rPr>
      <t xml:space="preserve">的 </t>
    </r>
    <r>
      <rPr>
        <sz val="10"/>
        <rFont val="Arial"/>
        <family val="0"/>
        <charset val="1"/>
      </rPr>
      <t xml:space="preserve">CR 3→4</t>
    </r>
  </si>
  <si>
    <r>
      <rPr>
        <sz val="10"/>
        <rFont val="Noto Sans CJK SC"/>
        <family val="2"/>
      </rPr>
      <t xml:space="preserve">无变动：</t>
    </r>
    <r>
      <rPr>
        <sz val="10"/>
        <rFont val="Arial"/>
        <family val="0"/>
        <charset val="1"/>
      </rPr>
      <t xml:space="preserve">IR 4 </t>
    </r>
    <r>
      <rPr>
        <sz val="10"/>
        <rFont val="Noto Sans CJK SC"/>
        <family val="2"/>
      </rPr>
      <t xml:space="preserve">的 </t>
    </r>
    <r>
      <rPr>
        <sz val="10"/>
        <rFont val="Arial"/>
        <family val="0"/>
        <charset val="1"/>
      </rPr>
      <t xml:space="preserve">CR 3→4</t>
    </r>
  </si>
  <si>
    <r>
      <rPr>
        <sz val="10"/>
        <rFont val="Arial"/>
        <family val="0"/>
        <charset val="1"/>
      </rPr>
      <t xml:space="preserve">CR 1→2</t>
    </r>
    <r>
      <rPr>
        <sz val="10"/>
        <rFont val="Noto Sans CJK SC"/>
        <family val="2"/>
      </rPr>
      <t xml:space="preserve">（中性）</t>
    </r>
  </si>
  <si>
    <r>
      <rPr>
        <sz val="10"/>
        <rFont val="Arial"/>
        <family val="0"/>
        <charset val="1"/>
      </rPr>
      <t xml:space="preserve">para 49 </t>
    </r>
    <r>
      <rPr>
        <sz val="10"/>
        <rFont val="Noto Sans CJK SC"/>
        <family val="2"/>
      </rPr>
      <t xml:space="preserve">逆向：</t>
    </r>
    <r>
      <rPr>
        <sz val="10"/>
        <rFont val="Arial"/>
        <family val="0"/>
        <charset val="1"/>
      </rPr>
      <t xml:space="preserve">CR 3→4</t>
    </r>
    <r>
      <rPr>
        <sz val="10"/>
        <rFont val="Noto Sans CJK SC"/>
        <family val="2"/>
      </rPr>
      <t xml:space="preserve">，</t>
    </r>
    <r>
      <rPr>
        <sz val="10"/>
        <rFont val="Arial"/>
        <family val="0"/>
        <charset val="1"/>
      </rPr>
      <t xml:space="preserve">CP 3</t>
    </r>
    <r>
      <rPr>
        <sz val="10"/>
        <rFont val="Noto Sans CJK SC"/>
        <family val="2"/>
      </rPr>
      <t xml:space="preserve">，</t>
    </r>
    <r>
      <rPr>
        <sz val="10"/>
        <rFont val="Arial"/>
        <family val="0"/>
        <charset val="1"/>
      </rPr>
      <t xml:space="preserve">FRP 4</t>
    </r>
  </si>
  <si>
    <t xml:space="preserve">汇总</t>
  </si>
  <si>
    <r>
      <rPr>
        <sz val="10"/>
        <rFont val="Arial"/>
        <family val="0"/>
        <charset val="1"/>
      </rPr>
      <t xml:space="preserve">Country risk </t>
    </r>
    <r>
      <rPr>
        <sz val="10"/>
        <rFont val="Noto Sans CJK SC"/>
        <family val="2"/>
      </rPr>
      <t xml:space="preserve">恶化一个 </t>
    </r>
    <r>
      <rPr>
        <sz val="10"/>
        <rFont val="Arial"/>
        <family val="0"/>
        <charset val="1"/>
      </rPr>
      <t xml:space="preserve">category </t>
    </r>
    <r>
      <rPr>
        <sz val="10"/>
        <rFont val="Noto Sans CJK SC"/>
        <family val="2"/>
      </rPr>
      <t xml:space="preserve">时 </t>
    </r>
    <r>
      <rPr>
        <sz val="10"/>
        <rFont val="Arial"/>
        <family val="0"/>
        <charset val="1"/>
      </rPr>
      <t xml:space="preserve">CICRA </t>
    </r>
    <r>
      <rPr>
        <sz val="10"/>
        <rFont val="Noto Sans CJK SC"/>
        <family val="2"/>
      </rPr>
      <t xml:space="preserve">的最大变动（级）</t>
    </r>
  </si>
  <si>
    <r>
      <rPr>
        <sz val="10"/>
        <rFont val="Arial"/>
        <family val="0"/>
        <charset val="1"/>
      </rPr>
      <t xml:space="preserve">CICRA </t>
    </r>
    <r>
      <rPr>
        <sz val="10"/>
        <rFont val="Noto Sans CJK SC"/>
        <family val="2"/>
      </rPr>
      <t xml:space="preserve">恶化一个 </t>
    </r>
    <r>
      <rPr>
        <sz val="10"/>
        <rFont val="Arial"/>
        <family val="0"/>
        <charset val="1"/>
      </rPr>
      <t xml:space="preserve">category </t>
    </r>
    <r>
      <rPr>
        <sz val="10"/>
        <rFont val="Noto Sans CJK SC"/>
        <family val="2"/>
      </rPr>
      <t xml:space="preserve">时 </t>
    </r>
    <r>
      <rPr>
        <sz val="10"/>
        <rFont val="Arial"/>
        <family val="0"/>
        <charset val="1"/>
      </rPr>
      <t xml:space="preserve">BRP </t>
    </r>
    <r>
      <rPr>
        <sz val="10"/>
        <rFont val="Noto Sans CJK SC"/>
        <family val="2"/>
      </rPr>
      <t xml:space="preserve">的最大变动（级）</t>
    </r>
  </si>
  <si>
    <r>
      <rPr>
        <sz val="10"/>
        <rFont val="Noto Sans CJK SC"/>
        <family val="2"/>
      </rPr>
      <t xml:space="preserve">传导链中 </t>
    </r>
    <r>
      <rPr>
        <sz val="10"/>
        <rFont val="Arial"/>
        <family val="0"/>
        <charset val="1"/>
      </rPr>
      <t xml:space="preserve">anchor </t>
    </r>
    <r>
      <rPr>
        <sz val="10"/>
        <rFont val="Noto Sans CJK SC"/>
        <family val="2"/>
      </rPr>
      <t xml:space="preserve">的最大下降（</t>
    </r>
    <r>
      <rPr>
        <sz val="10"/>
        <rFont val="Arial"/>
        <family val="0"/>
        <charset val="1"/>
      </rPr>
      <t xml:space="preserve">notch</t>
    </r>
    <r>
      <rPr>
        <sz val="10"/>
        <rFont val="Noto Sans CJK SC"/>
        <family val="2"/>
      </rPr>
      <t xml:space="preserve">）</t>
    </r>
  </si>
  <si>
    <r>
      <rPr>
        <sz val="10"/>
        <rFont val="Noto Sans CJK SC"/>
        <family val="2"/>
      </rPr>
      <t xml:space="preserve">结论：新 −</t>
    </r>
    <r>
      <rPr>
        <sz val="10"/>
        <rFont val="Arial"/>
        <family val="0"/>
        <charset val="1"/>
      </rPr>
      <t xml:space="preserve">1 notching </t>
    </r>
    <r>
      <rPr>
        <sz val="10"/>
        <rFont val="Noto Sans CJK SC"/>
        <family val="2"/>
      </rPr>
      <t xml:space="preserve">的 </t>
    </r>
    <r>
      <rPr>
        <sz val="10"/>
        <rFont val="Arial"/>
        <family val="0"/>
        <charset val="1"/>
      </rPr>
      <t xml:space="preserve">rating impact </t>
    </r>
    <r>
      <rPr>
        <sz val="10"/>
        <rFont val="Noto Sans CJK SC"/>
        <family val="2"/>
      </rPr>
      <t xml:space="preserve">不能一律按 </t>
    </r>
    <r>
      <rPr>
        <sz val="10"/>
        <rFont val="Arial"/>
        <family val="0"/>
        <charset val="1"/>
      </rPr>
      <t xml:space="preserve">1 notch </t>
    </r>
    <r>
      <rPr>
        <sz val="10"/>
        <rFont val="Noto Sans CJK SC"/>
        <family val="2"/>
      </rPr>
      <t xml:space="preserve">记。</t>
    </r>
    <r>
      <rPr>
        <sz val="10"/>
        <rFont val="Arial"/>
        <family val="0"/>
        <charset val="1"/>
      </rPr>
      <t xml:space="preserve">CR 1–3 </t>
    </r>
    <r>
      <rPr>
        <sz val="10"/>
        <rFont val="Noto Sans CJK SC"/>
        <family val="2"/>
      </rPr>
      <t xml:space="preserve">区间内的变动对 </t>
    </r>
    <r>
      <rPr>
        <sz val="10"/>
        <rFont val="Arial"/>
        <family val="0"/>
        <charset val="1"/>
      </rPr>
      <t xml:space="preserve">CICRA </t>
    </r>
    <r>
      <rPr>
        <sz val="10"/>
        <rFont val="Noto Sans CJK SC"/>
        <family val="2"/>
      </rPr>
      <t xml:space="preserve">中性；</t>
    </r>
    <r>
      <rPr>
        <sz val="10"/>
        <rFont val="Arial"/>
        <family val="0"/>
        <charset val="1"/>
      </rPr>
      <t xml:space="preserve">CR 4–6 </t>
    </r>
    <r>
      <rPr>
        <sz val="10"/>
        <rFont val="Noto Sans CJK SC"/>
        <family val="2"/>
      </rPr>
      <t xml:space="preserve">区间内的一个 </t>
    </r>
    <r>
      <rPr>
        <sz val="10"/>
        <rFont val="Arial"/>
        <family val="0"/>
        <charset val="1"/>
      </rPr>
      <t xml:space="preserve">category </t>
    </r>
    <r>
      <rPr>
        <sz val="10"/>
        <rFont val="Noto Sans CJK SC"/>
        <family val="2"/>
      </rPr>
      <t xml:space="preserve">变动可使 </t>
    </r>
    <r>
      <rPr>
        <sz val="10"/>
        <rFont val="Arial"/>
        <family val="0"/>
        <charset val="1"/>
      </rPr>
      <t xml:space="preserve">CICRA </t>
    </r>
    <r>
      <rPr>
        <sz val="10"/>
        <rFont val="Noto Sans CJK SC"/>
        <family val="2"/>
      </rPr>
      <t xml:space="preserve">跳 </t>
    </r>
    <r>
      <rPr>
        <sz val="10"/>
        <rFont val="Arial"/>
        <family val="0"/>
        <charset val="1"/>
      </rPr>
      <t xml:space="preserve">2 </t>
    </r>
    <r>
      <rPr>
        <sz val="10"/>
        <rFont val="Noto Sans CJK SC"/>
        <family val="2"/>
      </rPr>
      <t xml:space="preserve">级（</t>
    </r>
    <r>
      <rPr>
        <sz val="10"/>
        <rFont val="Arial"/>
        <family val="0"/>
        <charset val="1"/>
      </rPr>
      <t xml:space="preserve">IR 1 </t>
    </r>
    <r>
      <rPr>
        <sz val="10"/>
        <rFont val="Noto Sans CJK SC"/>
        <family val="2"/>
      </rPr>
      <t xml:space="preserve">的 </t>
    </r>
    <r>
      <rPr>
        <sz val="10"/>
        <rFont val="Arial"/>
        <family val="0"/>
        <charset val="1"/>
      </rPr>
      <t xml:space="preserve">CR 4→5</t>
    </r>
    <r>
      <rPr>
        <sz val="10"/>
        <rFont val="Noto Sans CJK SC"/>
        <family val="2"/>
      </rPr>
      <t xml:space="preserve">；</t>
    </r>
    <r>
      <rPr>
        <sz val="10"/>
        <rFont val="Arial"/>
        <family val="0"/>
        <charset val="1"/>
      </rPr>
      <t xml:space="preserve">IR 3 </t>
    </r>
    <r>
      <rPr>
        <sz val="10"/>
        <rFont val="Noto Sans CJK SC"/>
        <family val="2"/>
      </rPr>
      <t xml:space="preserve">的 </t>
    </r>
    <r>
      <rPr>
        <sz val="10"/>
        <rFont val="Arial"/>
        <family val="0"/>
        <charset val="1"/>
      </rPr>
      <t xml:space="preserve">CR 5→6</t>
    </r>
    <r>
      <rPr>
        <sz val="10"/>
        <rFont val="Noto Sans CJK SC"/>
        <family val="2"/>
      </rPr>
      <t xml:space="preserve">），进而使 </t>
    </r>
    <r>
      <rPr>
        <sz val="10"/>
        <rFont val="Arial"/>
        <family val="0"/>
        <charset val="1"/>
      </rPr>
      <t xml:space="preserve">BRP </t>
    </r>
    <r>
      <rPr>
        <sz val="10"/>
        <rFont val="Noto Sans CJK SC"/>
        <family val="2"/>
      </rPr>
      <t xml:space="preserve">跳 </t>
    </r>
    <r>
      <rPr>
        <sz val="10"/>
        <rFont val="Arial"/>
        <family val="0"/>
        <charset val="1"/>
      </rPr>
      <t xml:space="preserve">3 </t>
    </r>
    <r>
      <rPr>
        <sz val="10"/>
        <rFont val="Noto Sans CJK SC"/>
        <family val="2"/>
      </rPr>
      <t xml:space="preserve">级（</t>
    </r>
    <r>
      <rPr>
        <sz val="10"/>
        <rFont val="Arial"/>
        <family val="0"/>
        <charset val="1"/>
      </rPr>
      <t xml:space="preserve">CICRA 4→6</t>
    </r>
    <r>
      <rPr>
        <sz val="10"/>
        <rFont val="Noto Sans CJK SC"/>
        <family val="2"/>
      </rPr>
      <t xml:space="preserve">：</t>
    </r>
    <r>
      <rPr>
        <sz val="10"/>
        <rFont val="Arial"/>
        <family val="0"/>
        <charset val="1"/>
      </rPr>
      <t xml:space="preserve">CP 1 </t>
    </r>
    <r>
      <rPr>
        <sz val="10"/>
        <rFont val="Noto Sans CJK SC"/>
        <family val="2"/>
      </rPr>
      <t xml:space="preserve">为 </t>
    </r>
    <r>
      <rPr>
        <sz val="10"/>
        <rFont val="Arial"/>
        <family val="0"/>
        <charset val="1"/>
      </rPr>
      <t xml:space="preserve">BRP 2→5</t>
    </r>
    <r>
      <rPr>
        <sz val="10"/>
        <rFont val="Noto Sans CJK SC"/>
        <family val="2"/>
      </rPr>
      <t xml:space="preserve">，</t>
    </r>
    <r>
      <rPr>
        <sz val="10"/>
        <rFont val="Arial"/>
        <family val="0"/>
        <charset val="1"/>
      </rPr>
      <t xml:space="preserve">CP 3 </t>
    </r>
    <r>
      <rPr>
        <sz val="10"/>
        <rFont val="Noto Sans CJK SC"/>
        <family val="2"/>
      </rPr>
      <t xml:space="preserve">为 </t>
    </r>
    <r>
      <rPr>
        <sz val="10"/>
        <rFont val="Arial"/>
        <family val="0"/>
        <charset val="1"/>
      </rPr>
      <t xml:space="preserve">BRP 3→6</t>
    </r>
    <r>
      <rPr>
        <sz val="10"/>
        <rFont val="Noto Sans CJK SC"/>
        <family val="2"/>
      </rPr>
      <t xml:space="preserve">），</t>
    </r>
    <r>
      <rPr>
        <sz val="10"/>
        <rFont val="Arial"/>
        <family val="0"/>
        <charset val="1"/>
      </rPr>
      <t xml:space="preserve">anchor </t>
    </r>
    <r>
      <rPr>
        <sz val="10"/>
        <rFont val="Noto Sans CJK SC"/>
        <family val="2"/>
      </rPr>
      <t xml:space="preserve">在 </t>
    </r>
    <r>
      <rPr>
        <sz val="10"/>
        <rFont val="Arial"/>
        <family val="0"/>
        <charset val="1"/>
      </rPr>
      <t xml:space="preserve">FRP 1 </t>
    </r>
    <r>
      <rPr>
        <sz val="10"/>
        <rFont val="Noto Sans CJK SC"/>
        <family val="2"/>
      </rPr>
      <t xml:space="preserve">下最多下降 </t>
    </r>
    <r>
      <rPr>
        <sz val="10"/>
        <rFont val="Arial"/>
        <family val="0"/>
        <charset val="1"/>
      </rPr>
      <t xml:space="preserve">8 notch</t>
    </r>
    <r>
      <rPr>
        <sz val="10"/>
        <rFont val="Noto Sans CJK SC"/>
        <family val="2"/>
      </rPr>
      <t xml:space="preserve">，在 </t>
    </r>
    <r>
      <rPr>
        <sz val="10"/>
        <rFont val="Arial"/>
        <family val="0"/>
        <charset val="1"/>
      </rPr>
      <t xml:space="preserve">FRP 3 </t>
    </r>
    <r>
      <rPr>
        <sz val="10"/>
        <rFont val="Noto Sans CJK SC"/>
        <family val="2"/>
      </rPr>
      <t xml:space="preserve">下为 </t>
    </r>
    <r>
      <rPr>
        <sz val="10"/>
        <rFont val="Arial"/>
        <family val="0"/>
        <charset val="1"/>
      </rPr>
      <t xml:space="preserve">3–5 notch</t>
    </r>
    <r>
      <rPr>
        <sz val="10"/>
        <rFont val="Noto Sans CJK SC"/>
        <family val="2"/>
      </rPr>
      <t xml:space="preserve">。该 </t>
    </r>
    <r>
      <rPr>
        <sz val="10"/>
        <rFont val="Arial"/>
        <family val="0"/>
        <charset val="1"/>
      </rPr>
      <t xml:space="preserve">cliff </t>
    </r>
    <r>
      <rPr>
        <sz val="10"/>
        <rFont val="Noto Sans CJK SC"/>
        <family val="2"/>
      </rPr>
      <t xml:space="preserve">是现行 </t>
    </r>
    <r>
      <rPr>
        <sz val="10"/>
        <rFont val="Arial"/>
        <family val="0"/>
        <charset val="1"/>
      </rPr>
      <t xml:space="preserve">Table 1 / Table 2 </t>
    </r>
    <r>
      <rPr>
        <sz val="10"/>
        <rFont val="Noto Sans CJK SC"/>
        <family val="2"/>
      </rPr>
      <t xml:space="preserve">的固有结构，</t>
    </r>
    <r>
      <rPr>
        <sz val="10"/>
        <rFont val="Arial"/>
        <family val="0"/>
        <charset val="1"/>
      </rPr>
      <t xml:space="preserve">proposal </t>
    </r>
    <r>
      <rPr>
        <sz val="10"/>
        <rFont val="Noto Sans CJK SC"/>
        <family val="2"/>
      </rPr>
      <t xml:space="preserve">没有扩大 </t>
    </r>
    <r>
      <rPr>
        <sz val="10"/>
        <rFont val="Arial"/>
        <family val="0"/>
        <charset val="1"/>
      </rPr>
      <t xml:space="preserve">envelope</t>
    </r>
    <r>
      <rPr>
        <sz val="10"/>
        <rFont val="Noto Sans CJK SC"/>
        <family val="2"/>
      </rPr>
      <t xml:space="preserve">（</t>
    </r>
    <r>
      <rPr>
        <sz val="10"/>
        <rFont val="Arial"/>
        <family val="0"/>
        <charset val="1"/>
      </rPr>
      <t xml:space="preserve">para 49 </t>
    </r>
    <r>
      <rPr>
        <sz val="10"/>
        <rFont val="Noto Sans CJK SC"/>
        <family val="2"/>
      </rPr>
      <t xml:space="preserve">与 </t>
    </r>
    <r>
      <rPr>
        <sz val="10"/>
        <rFont val="Arial"/>
        <family val="0"/>
        <charset val="1"/>
      </rPr>
      <t xml:space="preserve">para 26 </t>
    </r>
    <r>
      <rPr>
        <sz val="10"/>
        <rFont val="Noto Sans CJK SC"/>
        <family val="2"/>
      </rPr>
      <t xml:space="preserve">同样是一个 </t>
    </r>
    <r>
      <rPr>
        <sz val="10"/>
        <rFont val="Arial"/>
        <family val="0"/>
        <charset val="1"/>
      </rPr>
      <t xml:space="preserve">category </t>
    </r>
    <r>
      <rPr>
        <sz val="10"/>
        <rFont val="Noto Sans CJK SC"/>
        <family val="2"/>
      </rPr>
      <t xml:space="preserve">的机制），但把触发权从 </t>
    </r>
    <r>
      <rPr>
        <sz val="10"/>
        <rFont val="Arial"/>
        <family val="0"/>
        <charset val="1"/>
      </rPr>
      <t xml:space="preserve">rule </t>
    </r>
    <r>
      <rPr>
        <sz val="10"/>
        <rFont val="Noto Sans CJK SC"/>
        <family val="2"/>
      </rPr>
      <t xml:space="preserve">交给了 </t>
    </r>
    <r>
      <rPr>
        <sz val="10"/>
        <rFont val="Arial"/>
        <family val="0"/>
        <charset val="1"/>
      </rPr>
      <t xml:space="preserve">judgment</t>
    </r>
    <r>
      <rPr>
        <sz val="10"/>
        <rFont val="Noto Sans CJK SC"/>
        <family val="2"/>
      </rPr>
      <t xml:space="preserve">。</t>
    </r>
    <r>
      <rPr>
        <sz val="10"/>
        <rFont val="Arial"/>
        <family val="0"/>
        <charset val="1"/>
      </rPr>
      <t xml:space="preserve">Appendix 4 </t>
    </r>
    <r>
      <rPr>
        <sz val="10"/>
        <rFont val="Noto Sans CJK SC"/>
        <family val="2"/>
      </rPr>
      <t xml:space="preserve">中 −</t>
    </r>
    <r>
      <rPr>
        <sz val="10"/>
        <rFont val="Arial"/>
        <family val="0"/>
        <charset val="1"/>
      </rPr>
      <t xml:space="preserve">1 notching </t>
    </r>
    <r>
      <rPr>
        <sz val="10"/>
        <rFont val="Noto Sans CJK SC"/>
        <family val="2"/>
      </rPr>
      <t xml:space="preserve">的 </t>
    </r>
    <r>
      <rPr>
        <sz val="10"/>
        <rFont val="Arial"/>
        <family val="0"/>
        <charset val="1"/>
      </rPr>
      <t xml:space="preserve">impact </t>
    </r>
    <r>
      <rPr>
        <sz val="10"/>
        <rFont val="Noto Sans CJK SC"/>
        <family val="2"/>
      </rPr>
      <t xml:space="preserve">建议记为 </t>
    </r>
    <r>
      <rPr>
        <sz val="10"/>
        <rFont val="Arial"/>
        <family val="0"/>
        <charset val="1"/>
      </rPr>
      <t xml:space="preserve">2</t>
    </r>
    <r>
      <rPr>
        <sz val="10"/>
        <rFont val="Noto Sans CJK SC"/>
        <family val="2"/>
      </rPr>
      <t xml:space="preserve">（</t>
    </r>
    <r>
      <rPr>
        <sz val="10"/>
        <rFont val="Arial"/>
        <family val="0"/>
        <charset val="1"/>
      </rPr>
      <t xml:space="preserve">2–3 notch</t>
    </r>
    <r>
      <rPr>
        <sz val="10"/>
        <rFont val="Noto Sans CJK SC"/>
        <family val="2"/>
      </rPr>
      <t xml:space="preserve">），而非 </t>
    </r>
    <r>
      <rPr>
        <sz val="10"/>
        <rFont val="Arial"/>
        <family val="0"/>
        <charset val="1"/>
      </rPr>
      <t xml:space="preserve">1</t>
    </r>
    <r>
      <rPr>
        <sz val="10"/>
        <rFont val="Noto Sans CJK SC"/>
        <family val="2"/>
      </rPr>
      <t xml:space="preserve">。</t>
    </r>
  </si>
  <si>
    <r>
      <rPr>
        <b val="true"/>
        <sz val="13"/>
        <rFont val="Noto Sans CJK SC"/>
        <family val="2"/>
      </rPr>
      <t xml:space="preserve">题 </t>
    </r>
    <r>
      <rPr>
        <b val="true"/>
        <sz val="13"/>
        <rFont val="Arial"/>
        <family val="0"/>
        <charset val="1"/>
      </rPr>
      <t xml:space="preserve">8 — Analytical judgement </t>
    </r>
    <r>
      <rPr>
        <b val="true"/>
        <sz val="13"/>
        <rFont val="Noto Sans CJK SC"/>
        <family val="2"/>
      </rPr>
      <t xml:space="preserve">节点初评</t>
    </r>
  </si>
  <si>
    <r>
      <rPr>
        <i val="true"/>
        <sz val="9"/>
        <color rgb="FF555555"/>
        <rFont val="Arial"/>
        <family val="0"/>
        <charset val="1"/>
      </rPr>
      <t xml:space="preserve">Degree 0–5</t>
    </r>
    <r>
      <rPr>
        <i val="true"/>
        <sz val="9"/>
        <color rgb="FF555555"/>
        <rFont val="Noto Sans CJK SC"/>
        <family val="2"/>
      </rPr>
      <t xml:space="preserve">（</t>
    </r>
    <r>
      <rPr>
        <i val="true"/>
        <sz val="9"/>
        <color rgb="FF555555"/>
        <rFont val="Arial"/>
        <family val="0"/>
        <charset val="1"/>
      </rPr>
      <t xml:space="preserve">no judgement → unbounded</t>
    </r>
    <r>
      <rPr>
        <i val="true"/>
        <sz val="9"/>
        <color rgb="FF555555"/>
        <rFont val="Noto Sans CJK SC"/>
        <family val="2"/>
      </rPr>
      <t xml:space="preserve">）；</t>
    </r>
    <r>
      <rPr>
        <i val="true"/>
        <sz val="9"/>
        <color rgb="FF555555"/>
        <rFont val="Arial"/>
        <family val="0"/>
        <charset val="1"/>
      </rPr>
      <t xml:space="preserve">Impact 1–3</t>
    </r>
    <r>
      <rPr>
        <i val="true"/>
        <sz val="9"/>
        <color rgb="FF555555"/>
        <rFont val="Noto Sans CJK SC"/>
        <family val="2"/>
      </rPr>
      <t xml:space="preserve">（</t>
    </r>
    <r>
      <rPr>
        <i val="true"/>
        <sz val="9"/>
        <color rgb="FF555555"/>
        <rFont val="Arial"/>
        <family val="0"/>
        <charset val="1"/>
      </rPr>
      <t xml:space="preserve">1 = one notch</t>
    </r>
    <r>
      <rPr>
        <i val="true"/>
        <sz val="9"/>
        <color rgb="FF555555"/>
        <rFont val="Noto Sans CJK SC"/>
        <family val="2"/>
      </rPr>
      <t xml:space="preserve">；</t>
    </r>
    <r>
      <rPr>
        <i val="true"/>
        <sz val="9"/>
        <color rgb="FF555555"/>
        <rFont val="Arial"/>
        <family val="0"/>
        <charset val="1"/>
      </rPr>
      <t xml:space="preserve">2 = 2–3 notches</t>
    </r>
    <r>
      <rPr>
        <i val="true"/>
        <sz val="9"/>
        <color rgb="FF555555"/>
        <rFont val="Noto Sans CJK SC"/>
        <family val="2"/>
      </rPr>
      <t xml:space="preserve">；</t>
    </r>
    <r>
      <rPr>
        <i val="true"/>
        <sz val="9"/>
        <color rgb="FF555555"/>
        <rFont val="Arial"/>
        <family val="0"/>
        <charset val="1"/>
      </rPr>
      <t xml:space="preserve">3 = more than 3 notches</t>
    </r>
    <r>
      <rPr>
        <i val="true"/>
        <sz val="9"/>
        <color rgb="FF555555"/>
        <rFont val="Noto Sans CJK SC"/>
        <family val="2"/>
      </rPr>
      <t xml:space="preserve">），按 </t>
    </r>
    <r>
      <rPr>
        <i val="true"/>
        <sz val="9"/>
        <color rgb="FF555555"/>
        <rFont val="Arial"/>
        <family val="0"/>
        <charset val="1"/>
      </rPr>
      <t xml:space="preserve">CP-64 Appendix 4 </t>
    </r>
    <r>
      <rPr>
        <i val="true"/>
        <sz val="9"/>
        <color rgb="FF555555"/>
        <rFont val="Noto Sans CJK SC"/>
        <family val="2"/>
      </rPr>
      <t xml:space="preserve">的 </t>
    </r>
    <r>
      <rPr>
        <i val="true"/>
        <sz val="9"/>
        <color rgb="FF555555"/>
        <rFont val="Arial"/>
        <family val="0"/>
        <charset val="1"/>
      </rPr>
      <t xml:space="preserve">scale</t>
    </r>
    <r>
      <rPr>
        <i val="true"/>
        <sz val="9"/>
        <color rgb="FF555555"/>
        <rFont val="Noto Sans CJK SC"/>
        <family val="2"/>
      </rPr>
      <t xml:space="preserve">。评分为 </t>
    </r>
    <r>
      <rPr>
        <i val="true"/>
        <sz val="9"/>
        <color rgb="FF555555"/>
        <rFont val="Arial"/>
        <family val="0"/>
        <charset val="1"/>
      </rPr>
      <t xml:space="preserve">AQV </t>
    </r>
    <r>
      <rPr>
        <i val="true"/>
        <sz val="9"/>
        <color rgb="FF555555"/>
        <rFont val="Noto Sans CJK SC"/>
        <family val="2"/>
      </rPr>
      <t xml:space="preserve">初评，待 </t>
    </r>
    <r>
      <rPr>
        <i val="true"/>
        <sz val="9"/>
        <color rgb="FF555555"/>
        <rFont val="Arial"/>
        <family val="0"/>
        <charset val="1"/>
      </rPr>
      <t xml:space="preserve">draft </t>
    </r>
    <r>
      <rPr>
        <i val="true"/>
        <sz val="9"/>
        <color rgb="FF555555"/>
        <rFont val="Noto Sans CJK SC"/>
        <family val="2"/>
      </rPr>
      <t xml:space="preserve">后复核。</t>
    </r>
  </si>
  <si>
    <r>
      <rPr>
        <b val="true"/>
        <sz val="10"/>
        <color rgb="FFFFFFFF"/>
        <rFont val="Arial"/>
        <family val="0"/>
        <charset val="1"/>
      </rPr>
      <t xml:space="preserve">AJ </t>
    </r>
    <r>
      <rPr>
        <b val="true"/>
        <sz val="10"/>
        <color rgb="FFFFFFFF"/>
        <rFont val="Noto Sans CJK SC"/>
        <family val="2"/>
      </rPr>
      <t xml:space="preserve">节点</t>
    </r>
  </si>
  <si>
    <r>
      <rPr>
        <b val="true"/>
        <sz val="10"/>
        <color rgb="FFFFFFFF"/>
        <rFont val="Noto Sans CJK SC"/>
        <family val="2"/>
      </rPr>
      <t xml:space="preserve">现行（</t>
    </r>
    <r>
      <rPr>
        <b val="true"/>
        <sz val="10"/>
        <color rgb="FFFFFFFF"/>
        <rFont val="Arial"/>
        <family val="0"/>
        <charset val="1"/>
      </rPr>
      <t xml:space="preserve">para</t>
    </r>
    <r>
      <rPr>
        <b val="true"/>
        <sz val="10"/>
        <color rgb="FFFFFFFF"/>
        <rFont val="Noto Sans CJK SC"/>
        <family val="2"/>
      </rPr>
      <t xml:space="preserve">）</t>
    </r>
  </si>
  <si>
    <r>
      <rPr>
        <b val="true"/>
        <sz val="10"/>
        <color rgb="FFFFFFFF"/>
        <rFont val="Noto Sans CJK SC"/>
        <family val="2"/>
      </rPr>
      <t xml:space="preserve">现行 </t>
    </r>
    <r>
      <rPr>
        <b val="true"/>
        <sz val="10"/>
        <color rgb="FFFFFFFF"/>
        <rFont val="Arial"/>
        <family val="0"/>
        <charset val="1"/>
      </rPr>
      <t xml:space="preserve">degree</t>
    </r>
  </si>
  <si>
    <t xml:space="preserve">Proposed</t>
  </si>
  <si>
    <t xml:space="preserve">Proposed degree</t>
  </si>
  <si>
    <t xml:space="preserve">Impact</t>
  </si>
  <si>
    <t xml:space="preserve">评分理由</t>
  </si>
  <si>
    <r>
      <rPr>
        <b val="true"/>
        <sz val="10"/>
        <color rgb="FFFFFFFF"/>
        <rFont val="Noto Sans CJK SC"/>
        <family val="2"/>
      </rPr>
      <t xml:space="preserve">与 </t>
    </r>
    <r>
      <rPr>
        <b val="true"/>
        <sz val="10"/>
        <color rgb="FFFFFFFF"/>
        <rFont val="Arial"/>
        <family val="0"/>
        <charset val="1"/>
      </rPr>
      <t xml:space="preserve">Supervisory feedback</t>
    </r>
    <r>
      <rPr>
        <b val="true"/>
        <sz val="10"/>
        <color rgb="FFFFFFFF"/>
        <rFont val="Noto Sans CJK SC"/>
        <family val="2"/>
      </rPr>
      <t xml:space="preserve">（</t>
    </r>
    <r>
      <rPr>
        <b val="true"/>
        <sz val="10"/>
        <color rgb="FFFFFFFF"/>
        <rFont val="Arial"/>
        <family val="0"/>
        <charset val="1"/>
      </rPr>
      <t xml:space="preserve">2026-03-23</t>
    </r>
    <r>
      <rPr>
        <b val="true"/>
        <sz val="10"/>
        <color rgb="FFFFFFFF"/>
        <rFont val="Noto Sans CJK SC"/>
        <family val="2"/>
      </rPr>
      <t xml:space="preserve">）的关系</t>
    </r>
  </si>
  <si>
    <r>
      <rPr>
        <sz val="10"/>
        <rFont val="Arial"/>
        <family val="0"/>
        <charset val="1"/>
      </rPr>
      <t xml:space="preserve">Exposure </t>
    </r>
    <r>
      <rPr>
        <sz val="10"/>
        <rFont val="Noto Sans CJK SC"/>
        <family val="2"/>
      </rPr>
      <t xml:space="preserve">计量指标的选择</t>
    </r>
  </si>
  <si>
    <r>
      <rPr>
        <sz val="10"/>
        <rFont val="Arial"/>
        <family val="0"/>
        <charset val="1"/>
      </rPr>
      <t xml:space="preserve">para 42</t>
    </r>
    <r>
      <rPr>
        <sz val="10"/>
        <rFont val="Noto Sans CJK SC"/>
        <family val="2"/>
      </rPr>
      <t xml:space="preserve">：</t>
    </r>
    <r>
      <rPr>
        <sz val="10"/>
        <rFont val="Arial"/>
        <family val="0"/>
        <charset val="1"/>
      </rPr>
      <t xml:space="preserve">EBITDA</t>
    </r>
    <r>
      <rPr>
        <sz val="10"/>
        <rFont val="Noto Sans CJK SC"/>
        <family val="2"/>
      </rPr>
      <t xml:space="preserve">、</t>
    </r>
    <r>
      <rPr>
        <sz val="10"/>
        <rFont val="Arial"/>
        <family val="0"/>
        <charset val="1"/>
      </rPr>
      <t xml:space="preserve">revenues</t>
    </r>
    <r>
      <rPr>
        <sz val="10"/>
        <rFont val="Noto Sans CJK SC"/>
        <family val="2"/>
      </rPr>
      <t xml:space="preserve">、</t>
    </r>
    <r>
      <rPr>
        <sz val="10"/>
        <rFont val="Arial"/>
        <family val="0"/>
        <charset val="1"/>
      </rPr>
      <t xml:space="preserve">fixed assets </t>
    </r>
    <r>
      <rPr>
        <sz val="10"/>
        <rFont val="Noto Sans CJK SC"/>
        <family val="2"/>
      </rPr>
      <t xml:space="preserve">或其他更合适的指标。</t>
    </r>
  </si>
  <si>
    <r>
      <rPr>
        <sz val="10"/>
        <rFont val="Noto Sans CJK SC"/>
        <family val="2"/>
      </rPr>
      <t xml:space="preserve">指标列表扩展（含 </t>
    </r>
    <r>
      <rPr>
        <sz val="10"/>
        <rFont val="Arial"/>
        <family val="0"/>
        <charset val="1"/>
      </rPr>
      <t xml:space="preserve">exports</t>
    </r>
    <r>
      <rPr>
        <sz val="10"/>
        <rFont val="Noto Sans CJK SC"/>
        <family val="2"/>
      </rPr>
      <t xml:space="preserve">、</t>
    </r>
    <r>
      <rPr>
        <sz val="10"/>
        <rFont val="Arial"/>
        <family val="0"/>
        <charset val="1"/>
      </rPr>
      <t xml:space="preserve">head office</t>
    </r>
    <r>
      <rPr>
        <sz val="10"/>
        <rFont val="Noto Sans CJK SC"/>
        <family val="2"/>
      </rPr>
      <t xml:space="preserve">、</t>
    </r>
    <r>
      <rPr>
        <sz val="10"/>
        <rFont val="Arial"/>
        <family val="0"/>
        <charset val="1"/>
      </rPr>
      <t xml:space="preserve">production facilities</t>
    </r>
    <r>
      <rPr>
        <sz val="10"/>
        <rFont val="Noto Sans CJK SC"/>
        <family val="2"/>
      </rPr>
      <t xml:space="preserve">、</t>
    </r>
    <r>
      <rPr>
        <sz val="10"/>
        <rFont val="Arial"/>
        <family val="0"/>
        <charset val="1"/>
      </rPr>
      <t xml:space="preserve">key suppliers</t>
    </r>
    <r>
      <rPr>
        <sz val="10"/>
        <rFont val="Noto Sans CJK SC"/>
        <family val="2"/>
      </rPr>
      <t xml:space="preserve">），无优先级。</t>
    </r>
  </si>
  <si>
    <t xml:space="preserve">2–3</t>
  </si>
  <si>
    <r>
      <rPr>
        <sz val="10"/>
        <rFont val="Arial"/>
        <family val="0"/>
        <charset val="1"/>
      </rPr>
      <t xml:space="preserve">1</t>
    </r>
    <r>
      <rPr>
        <sz val="10"/>
        <rFont val="Noto Sans CJK SC"/>
        <family val="2"/>
      </rPr>
      <t xml:space="preserve">（经 </t>
    </r>
    <r>
      <rPr>
        <sz val="10"/>
        <rFont val="Arial"/>
        <family val="0"/>
        <charset val="1"/>
      </rPr>
      <t xml:space="preserve">integer rounding </t>
    </r>
    <r>
      <rPr>
        <sz val="10"/>
        <rFont val="Noto Sans CJK SC"/>
        <family val="2"/>
      </rPr>
      <t xml:space="preserve">后通常 ≤</t>
    </r>
    <r>
      <rPr>
        <sz val="10"/>
        <rFont val="Arial"/>
        <family val="0"/>
        <charset val="1"/>
      </rPr>
      <t xml:space="preserve">1 category</t>
    </r>
    <r>
      <rPr>
        <sz val="10"/>
        <rFont val="Noto Sans CJK SC"/>
        <family val="2"/>
      </rPr>
      <t xml:space="preserve">；角落情形更大）</t>
    </r>
  </si>
  <si>
    <t xml:space="preserve">选择空间扩大但性质未变；指标之间无优先级会放大不一致。</t>
  </si>
  <si>
    <t xml:space="preserve">中性偏负：指标越多，判断越分散。</t>
  </si>
  <si>
    <r>
      <rPr>
        <sz val="10"/>
        <rFont val="Arial"/>
        <family val="0"/>
        <charset val="1"/>
      </rPr>
      <t xml:space="preserve">para 44</t>
    </r>
    <r>
      <rPr>
        <sz val="10"/>
        <rFont val="Noto Sans CJK SC"/>
        <family val="2"/>
      </rPr>
      <t xml:space="preserve">：三种定义情形（</t>
    </r>
    <r>
      <rPr>
        <sz val="10"/>
        <rFont val="Arial"/>
        <family val="0"/>
        <charset val="1"/>
      </rPr>
      <t xml:space="preserve">fixed assets</t>
    </r>
    <r>
      <rPr>
        <sz val="10"/>
        <rFont val="Noto Sans CJK SC"/>
        <family val="2"/>
      </rPr>
      <t xml:space="preserve">、不可转移的出口收入、不可替代的供应商）。</t>
    </r>
  </si>
  <si>
    <r>
      <rPr>
        <sz val="10"/>
        <rFont val="Arial"/>
        <family val="0"/>
        <charset val="1"/>
      </rPr>
      <t xml:space="preserve">"weak-link approach ... when more relevant"</t>
    </r>
    <r>
      <rPr>
        <sz val="10"/>
        <rFont val="Noto Sans CJK SC"/>
        <family val="2"/>
      </rPr>
      <t xml:space="preserve">，无定义情形。</t>
    </r>
  </si>
  <si>
    <r>
      <rPr>
        <sz val="10"/>
        <rFont val="Arial"/>
        <family val="0"/>
        <charset val="1"/>
      </rPr>
      <t xml:space="preserve">2</t>
    </r>
    <r>
      <rPr>
        <sz val="10"/>
        <rFont val="Noto Sans CJK SC"/>
        <family val="2"/>
      </rPr>
      <t xml:space="preserve">（</t>
    </r>
    <r>
      <rPr>
        <sz val="10"/>
        <rFont val="Arial"/>
        <family val="0"/>
        <charset val="1"/>
      </rPr>
      <t xml:space="preserve">weak-link </t>
    </r>
    <r>
      <rPr>
        <sz val="10"/>
        <rFont val="Noto Sans CJK SC"/>
        <family val="2"/>
      </rPr>
      <t xml:space="preserve">可使 </t>
    </r>
    <r>
      <rPr>
        <sz val="10"/>
        <rFont val="Arial"/>
        <family val="0"/>
        <charset val="1"/>
      </rPr>
      <t xml:space="preserve">CR </t>
    </r>
    <r>
      <rPr>
        <sz val="10"/>
        <rFont val="Noto Sans CJK SC"/>
        <family val="2"/>
      </rPr>
      <t xml:space="preserve">与 </t>
    </r>
    <r>
      <rPr>
        <sz val="10"/>
        <rFont val="Arial"/>
        <family val="0"/>
        <charset val="1"/>
      </rPr>
      <t xml:space="preserve">weighted average </t>
    </r>
    <r>
      <rPr>
        <sz val="10"/>
        <rFont val="Noto Sans CJK SC"/>
        <family val="2"/>
      </rPr>
      <t xml:space="preserve">相差数个 </t>
    </r>
    <r>
      <rPr>
        <sz val="10"/>
        <rFont val="Arial"/>
        <family val="0"/>
        <charset val="1"/>
      </rPr>
      <t xml:space="preserve">category</t>
    </r>
    <r>
      <rPr>
        <sz val="10"/>
        <rFont val="Noto Sans CJK SC"/>
        <family val="2"/>
      </rPr>
      <t xml:space="preserve">）</t>
    </r>
  </si>
  <si>
    <r>
      <rPr>
        <sz val="10"/>
        <rFont val="Noto Sans CJK SC"/>
        <family val="2"/>
      </rPr>
      <t xml:space="preserve">触发条件从定义情形退化为 </t>
    </r>
    <r>
      <rPr>
        <sz val="10"/>
        <rFont val="Arial"/>
        <family val="0"/>
        <charset val="1"/>
      </rPr>
      <t xml:space="preserve">"more relevant"</t>
    </r>
    <r>
      <rPr>
        <sz val="10"/>
        <rFont val="Noto Sans CJK SC"/>
        <family val="2"/>
      </rPr>
      <t xml:space="preserve">。</t>
    </r>
  </si>
  <si>
    <r>
      <rPr>
        <sz val="10"/>
        <rFont val="Noto Sans CJK SC"/>
        <family val="2"/>
      </rPr>
      <t xml:space="preserve">负：</t>
    </r>
    <r>
      <rPr>
        <sz val="10"/>
        <rFont val="Arial"/>
        <family val="0"/>
        <charset val="1"/>
      </rPr>
      <t xml:space="preserve">judgment </t>
    </r>
    <r>
      <rPr>
        <sz val="10"/>
        <rFont val="Noto Sans CJK SC"/>
        <family val="2"/>
      </rPr>
      <t xml:space="preserve">边界变宽。</t>
    </r>
  </si>
  <si>
    <r>
      <rPr>
        <sz val="10"/>
        <rFont val="Noto Sans CJK SC"/>
        <family val="2"/>
      </rPr>
      <t xml:space="preserve">无（现行无 </t>
    </r>
    <r>
      <rPr>
        <sz val="10"/>
        <rFont val="Arial"/>
        <family val="0"/>
        <charset val="1"/>
      </rPr>
      <t xml:space="preserve">factor-level notching</t>
    </r>
    <r>
      <rPr>
        <sz val="10"/>
        <rFont val="Noto Sans CJK SC"/>
        <family val="2"/>
      </rPr>
      <t xml:space="preserve">）。</t>
    </r>
  </si>
  <si>
    <t xml:space="preserve">0</t>
  </si>
  <si>
    <r>
      <rPr>
        <sz val="10"/>
        <rFont val="Noto Sans CJK SC"/>
        <family val="2"/>
      </rPr>
      <t xml:space="preserve">可对 </t>
    </r>
    <r>
      <rPr>
        <sz val="10"/>
        <rFont val="Arial"/>
        <family val="0"/>
        <charset val="1"/>
      </rPr>
      <t xml:space="preserve">weighted average outcome −1</t>
    </r>
    <r>
      <rPr>
        <sz val="10"/>
        <rFont val="Noto Sans CJK SC"/>
        <family val="2"/>
      </rPr>
      <t xml:space="preserve">；示例为 </t>
    </r>
    <r>
      <rPr>
        <sz val="10"/>
        <rFont val="Arial"/>
        <family val="0"/>
        <charset val="1"/>
      </rPr>
      <t xml:space="preserve">dominant supplier</t>
    </r>
    <r>
      <rPr>
        <sz val="10"/>
        <rFont val="Noto Sans CJK SC"/>
        <family val="2"/>
      </rPr>
      <t xml:space="preserve">。</t>
    </r>
  </si>
  <si>
    <r>
      <rPr>
        <sz val="10"/>
        <rFont val="Arial"/>
        <family val="0"/>
        <charset val="1"/>
      </rPr>
      <t xml:space="preserve">2</t>
    </r>
    <r>
      <rPr>
        <sz val="10"/>
        <rFont val="Noto Sans CJK SC"/>
        <family val="2"/>
      </rPr>
      <t xml:space="preserve">（见 </t>
    </r>
    <r>
      <rPr>
        <sz val="10"/>
        <rFont val="Arial"/>
        <family val="0"/>
        <charset val="1"/>
      </rPr>
      <t xml:space="preserve">7_Sensitivity</t>
    </r>
    <r>
      <rPr>
        <sz val="10"/>
        <rFont val="Noto Sans CJK SC"/>
        <family val="2"/>
      </rPr>
      <t xml:space="preserve">：角落情形 </t>
    </r>
    <r>
      <rPr>
        <sz val="10"/>
        <rFont val="Arial"/>
        <family val="0"/>
        <charset val="1"/>
      </rPr>
      <t xml:space="preserve">BRP </t>
    </r>
    <r>
      <rPr>
        <sz val="10"/>
        <rFont val="Noto Sans CJK SC"/>
        <family val="2"/>
      </rPr>
      <t xml:space="preserve">跳 </t>
    </r>
    <r>
      <rPr>
        <sz val="10"/>
        <rFont val="Arial"/>
        <family val="0"/>
        <charset val="1"/>
      </rPr>
      <t xml:space="preserve">2–3 </t>
    </r>
    <r>
      <rPr>
        <sz val="10"/>
        <rFont val="Noto Sans CJK SC"/>
        <family val="2"/>
      </rPr>
      <t xml:space="preserve">级）</t>
    </r>
  </si>
  <si>
    <r>
      <rPr>
        <sz val="10"/>
        <rFont val="Noto Sans CJK SC"/>
        <family val="2"/>
      </rPr>
      <t xml:space="preserve">新增 </t>
    </r>
    <r>
      <rPr>
        <sz val="10"/>
        <rFont val="Arial"/>
        <family val="0"/>
        <charset val="1"/>
      </rPr>
      <t xml:space="preserve">judgment </t>
    </r>
    <r>
      <rPr>
        <sz val="10"/>
        <rFont val="Noto Sans CJK SC"/>
        <family val="2"/>
      </rPr>
      <t xml:space="preserve">节点，只有示例无条件；</t>
    </r>
    <r>
      <rPr>
        <sz val="10"/>
        <rFont val="Arial"/>
        <family val="0"/>
        <charset val="1"/>
      </rPr>
      <t xml:space="preserve">C&amp;G RAS para 58 </t>
    </r>
    <r>
      <rPr>
        <sz val="10"/>
        <rFont val="Noto Sans CJK SC"/>
        <family val="2"/>
      </rPr>
      <t xml:space="preserve">的 −</t>
    </r>
    <r>
      <rPr>
        <sz val="10"/>
        <rFont val="Arial"/>
        <family val="0"/>
        <charset val="1"/>
      </rPr>
      <t xml:space="preserve">1 </t>
    </r>
    <r>
      <rPr>
        <sz val="10"/>
        <rFont val="Noto Sans CJK SC"/>
        <family val="2"/>
      </rPr>
      <t xml:space="preserve">有 </t>
    </r>
    <r>
      <rPr>
        <sz val="10"/>
        <rFont val="Arial"/>
        <family val="0"/>
        <charset val="1"/>
      </rPr>
      <t xml:space="preserve">defined conditions </t>
    </r>
    <r>
      <rPr>
        <sz val="10"/>
        <rFont val="Noto Sans CJK SC"/>
        <family val="2"/>
      </rPr>
      <t xml:space="preserve">可对照。</t>
    </r>
  </si>
  <si>
    <r>
      <rPr>
        <sz val="10"/>
        <rFont val="Noto Sans CJK SC"/>
        <family val="2"/>
      </rPr>
      <t xml:space="preserve">负：在 </t>
    </r>
    <r>
      <rPr>
        <sz val="10"/>
        <rFont val="Arial"/>
        <family val="0"/>
        <charset val="1"/>
      </rPr>
      <t xml:space="preserve">factor </t>
    </r>
    <r>
      <rPr>
        <sz val="10"/>
        <rFont val="Noto Sans CJK SC"/>
        <family val="2"/>
      </rPr>
      <t xml:space="preserve">层新增 </t>
    </r>
    <r>
      <rPr>
        <sz val="10"/>
        <rFont val="Arial"/>
        <family val="0"/>
        <charset val="1"/>
      </rPr>
      <t xml:space="preserve">judgment </t>
    </r>
    <r>
      <rPr>
        <sz val="10"/>
        <rFont val="Noto Sans CJK SC"/>
        <family val="2"/>
      </rPr>
      <t xml:space="preserve">节点，与 </t>
    </r>
    <r>
      <rPr>
        <sz val="10"/>
        <rFont val="Arial"/>
        <family val="0"/>
        <charset val="1"/>
      </rPr>
      <t xml:space="preserve">"judgment </t>
    </r>
    <r>
      <rPr>
        <sz val="10"/>
        <rFont val="Noto Sans CJK SC"/>
        <family val="2"/>
      </rPr>
      <t xml:space="preserve">集中于少数节点</t>
    </r>
    <r>
      <rPr>
        <sz val="10"/>
        <rFont val="Arial"/>
        <family val="0"/>
        <charset val="1"/>
      </rPr>
      <t xml:space="preserve">" </t>
    </r>
    <r>
      <rPr>
        <sz val="10"/>
        <rFont val="Noto Sans CJK SC"/>
        <family val="2"/>
      </rPr>
      <t xml:space="preserve">的要求相反，除非 </t>
    </r>
    <r>
      <rPr>
        <sz val="10"/>
        <rFont val="Arial"/>
        <family val="0"/>
        <charset val="1"/>
      </rPr>
      <t xml:space="preserve">draft </t>
    </r>
    <r>
      <rPr>
        <sz val="10"/>
        <rFont val="Noto Sans CJK SC"/>
        <family val="2"/>
      </rPr>
      <t xml:space="preserve">给出 </t>
    </r>
    <r>
      <rPr>
        <sz val="10"/>
        <rFont val="Arial"/>
        <family val="0"/>
        <charset val="1"/>
      </rPr>
      <t xml:space="preserve">defined triggers</t>
    </r>
    <r>
      <rPr>
        <sz val="10"/>
        <rFont val="Noto Sans CJK SC"/>
        <family val="2"/>
      </rPr>
      <t xml:space="preserve">。</t>
    </r>
  </si>
  <si>
    <r>
      <rPr>
        <sz val="10"/>
        <rFont val="Arial"/>
        <family val="0"/>
        <charset val="1"/>
      </rPr>
      <t xml:space="preserve">Regional score </t>
    </r>
    <r>
      <rPr>
        <sz val="10"/>
        <rFont val="Noto Sans CJK SC"/>
        <family val="2"/>
      </rPr>
      <t xml:space="preserve">的使用与未披露时的估算</t>
    </r>
  </si>
  <si>
    <r>
      <rPr>
        <sz val="10"/>
        <rFont val="Arial"/>
        <family val="0"/>
        <charset val="1"/>
      </rPr>
      <t xml:space="preserve">paras 46–47</t>
    </r>
    <r>
      <rPr>
        <sz val="10"/>
        <rFont val="Noto Sans CJK SC"/>
        <family val="2"/>
      </rPr>
      <t xml:space="preserve">：按国家组披露时用 </t>
    </r>
    <r>
      <rPr>
        <sz val="10"/>
        <rFont val="Arial"/>
        <family val="0"/>
        <charset val="1"/>
      </rPr>
      <t xml:space="preserve">regional assessment</t>
    </r>
    <r>
      <rPr>
        <sz val="10"/>
        <rFont val="Noto Sans CJK SC"/>
        <family val="2"/>
      </rPr>
      <t xml:space="preserve">；不披露时估算。</t>
    </r>
  </si>
  <si>
    <r>
      <rPr>
        <sz val="10"/>
        <rFont val="Noto Sans CJK SC"/>
        <family val="2"/>
      </rPr>
      <t xml:space="preserve">未明（</t>
    </r>
    <r>
      <rPr>
        <sz val="10"/>
        <rFont val="Arial"/>
        <family val="0"/>
        <charset val="1"/>
      </rPr>
      <t xml:space="preserve">"country or region depending on company reporting"</t>
    </r>
    <r>
      <rPr>
        <sz val="10"/>
        <rFont val="Noto Sans CJK SC"/>
        <family val="2"/>
      </rPr>
      <t xml:space="preserve">）。</t>
    </r>
  </si>
  <si>
    <t xml:space="preserve">性质未变。</t>
  </si>
  <si>
    <t xml:space="preserve">中性。</t>
  </si>
  <si>
    <t xml:space="preserve">para 45 exporter mitigation</t>
  </si>
  <si>
    <r>
      <rPr>
        <sz val="10"/>
        <rFont val="Arial"/>
        <family val="0"/>
        <charset val="1"/>
      </rPr>
      <t xml:space="preserve">Rule with conditions</t>
    </r>
    <r>
      <rPr>
        <sz val="10"/>
        <rFont val="Noto Sans CJK SC"/>
        <family val="2"/>
      </rPr>
      <t xml:space="preserve">（出口为主、不依赖本国银行体系、</t>
    </r>
    <r>
      <rPr>
        <sz val="10"/>
        <rFont val="Arial"/>
        <family val="0"/>
        <charset val="1"/>
      </rPr>
      <t xml:space="preserve">financial system risk </t>
    </r>
    <r>
      <rPr>
        <sz val="10"/>
        <rFont val="Noto Sans CJK SC"/>
        <family val="2"/>
      </rPr>
      <t xml:space="preserve">为约束因素）。</t>
    </r>
  </si>
  <si>
    <r>
      <rPr>
        <sz val="10"/>
        <rFont val="Noto Sans CJK SC"/>
        <family val="2"/>
      </rPr>
      <t xml:space="preserve">未明；</t>
    </r>
    <r>
      <rPr>
        <sz val="10"/>
        <rFont val="Arial"/>
        <family val="0"/>
        <charset val="1"/>
      </rPr>
      <t xml:space="preserve">proposal </t>
    </r>
    <r>
      <rPr>
        <sz val="10"/>
        <rFont val="Noto Sans CJK SC"/>
        <family val="2"/>
      </rPr>
      <t xml:space="preserve">未保留任何 </t>
    </r>
    <r>
      <rPr>
        <sz val="10"/>
        <rFont val="Arial"/>
        <family val="0"/>
        <charset val="1"/>
      </rPr>
      <t xml:space="preserve">upward </t>
    </r>
    <r>
      <rPr>
        <sz val="10"/>
        <rFont val="Noto Sans CJK SC"/>
        <family val="2"/>
      </rPr>
      <t xml:space="preserve">调整。</t>
    </r>
  </si>
  <si>
    <r>
      <rPr>
        <sz val="10"/>
        <rFont val="Arial"/>
        <family val="0"/>
        <charset val="1"/>
      </rPr>
      <t xml:space="preserve">0</t>
    </r>
    <r>
      <rPr>
        <sz val="10"/>
        <rFont val="Noto Sans CJK SC"/>
        <family val="2"/>
      </rPr>
      <t xml:space="preserve">（若删除）</t>
    </r>
  </si>
  <si>
    <r>
      <rPr>
        <sz val="10"/>
        <rFont val="Noto Sans CJK SC"/>
        <family val="2"/>
      </rPr>
      <t xml:space="preserve">删除的是 </t>
    </r>
    <r>
      <rPr>
        <sz val="10"/>
        <rFont val="Arial"/>
        <family val="0"/>
        <charset val="1"/>
      </rPr>
      <t xml:space="preserve">rule-based </t>
    </r>
    <r>
      <rPr>
        <sz val="10"/>
        <rFont val="Noto Sans CJK SC"/>
        <family val="2"/>
      </rPr>
      <t xml:space="preserve">节点。</t>
    </r>
  </si>
  <si>
    <t xml:space="preserve">正：节点减少。</t>
  </si>
  <si>
    <t xml:space="preserve">para 49 diversity adjustment</t>
  </si>
  <si>
    <r>
      <rPr>
        <sz val="10"/>
        <rFont val="Arial"/>
        <family val="0"/>
        <charset val="1"/>
      </rPr>
      <t xml:space="preserve">Mechanical</t>
    </r>
    <r>
      <rPr>
        <sz val="10"/>
        <rFont val="Noto Sans CJK SC"/>
        <family val="2"/>
      </rPr>
      <t xml:space="preserve">：</t>
    </r>
    <r>
      <rPr>
        <sz val="10"/>
        <rFont val="Arial"/>
        <family val="0"/>
        <charset val="1"/>
      </rPr>
      <t xml:space="preserve">4 </t>
    </r>
    <r>
      <rPr>
        <sz val="10"/>
        <rFont val="Noto Sans CJK SC"/>
        <family val="2"/>
      </rPr>
      <t xml:space="preserve">个条件全满足则 </t>
    </r>
    <r>
      <rPr>
        <sz val="10"/>
        <rFont val="Arial"/>
        <family val="0"/>
        <charset val="1"/>
      </rPr>
      <t xml:space="preserve">+1 category</t>
    </r>
    <r>
      <rPr>
        <sz val="10"/>
        <rFont val="Noto Sans CJK SC"/>
        <family val="2"/>
      </rPr>
      <t xml:space="preserve">。</t>
    </r>
  </si>
  <si>
    <t xml:space="preserve">para 26 CICRA 5 → BRP 2 exception</t>
  </si>
  <si>
    <r>
      <rPr>
        <sz val="10"/>
        <rFont val="Arial"/>
        <family val="0"/>
        <charset val="1"/>
      </rPr>
      <t xml:space="preserve">4 </t>
    </r>
    <r>
      <rPr>
        <sz val="10"/>
        <rFont val="Noto Sans CJK SC"/>
        <family val="2"/>
      </rPr>
      <t xml:space="preserve">个条件，其中 </t>
    </r>
    <r>
      <rPr>
        <sz val="10"/>
        <rFont val="Arial"/>
        <family val="0"/>
        <charset val="1"/>
      </rPr>
      <t xml:space="preserve">"significantly better-than-average profitability" </t>
    </r>
    <r>
      <rPr>
        <sz val="10"/>
        <rFont val="Noto Sans CJK SC"/>
        <family val="2"/>
      </rPr>
      <t xml:space="preserve">与 </t>
    </r>
    <r>
      <rPr>
        <sz val="10"/>
        <rFont val="Arial"/>
        <family val="0"/>
        <charset val="1"/>
      </rPr>
      <t xml:space="preserve">"transcends its industry risks" </t>
    </r>
    <r>
      <rPr>
        <sz val="10"/>
        <rFont val="Noto Sans CJK SC"/>
        <family val="2"/>
      </rPr>
      <t xml:space="preserve">需判断。</t>
    </r>
  </si>
  <si>
    <r>
      <rPr>
        <sz val="10"/>
        <rFont val="Arial"/>
        <family val="0"/>
        <charset val="1"/>
      </rPr>
      <t xml:space="preserve">Removed</t>
    </r>
    <r>
      <rPr>
        <sz val="10"/>
        <rFont val="Noto Sans CJK SC"/>
        <family val="2"/>
      </rPr>
      <t xml:space="preserve">（</t>
    </r>
    <r>
      <rPr>
        <sz val="10"/>
        <rFont val="Arial"/>
        <family val="0"/>
        <charset val="1"/>
      </rPr>
      <t xml:space="preserve">parked</t>
    </r>
    <r>
      <rPr>
        <sz val="10"/>
        <rFont val="Noto Sans CJK SC"/>
        <family val="2"/>
      </rPr>
      <t xml:space="preserve">）。</t>
    </r>
  </si>
  <si>
    <r>
      <rPr>
        <sz val="10"/>
        <rFont val="Arial"/>
        <family val="0"/>
        <charset val="1"/>
      </rPr>
      <t xml:space="preserve">1</t>
    </r>
    <r>
      <rPr>
        <sz val="10"/>
        <rFont val="Noto Sans CJK SC"/>
        <family val="2"/>
      </rPr>
      <t xml:space="preserve">（</t>
    </r>
    <r>
      <rPr>
        <sz val="10"/>
        <rFont val="Arial"/>
        <family val="0"/>
        <charset val="1"/>
      </rPr>
      <t xml:space="preserve">BRP </t>
    </r>
    <r>
      <rPr>
        <sz val="10"/>
        <rFont val="Noto Sans CJK SC"/>
        <family val="2"/>
      </rPr>
      <t xml:space="preserve">一级）</t>
    </r>
  </si>
  <si>
    <r>
      <rPr>
        <sz val="10"/>
        <rFont val="Noto Sans CJK SC"/>
        <family val="2"/>
      </rPr>
      <t xml:space="preserve">删除的是 </t>
    </r>
    <r>
      <rPr>
        <sz val="10"/>
        <rFont val="Arial"/>
        <family val="0"/>
        <charset val="1"/>
      </rPr>
      <t xml:space="preserve">rule + judgment </t>
    </r>
    <r>
      <rPr>
        <sz val="10"/>
        <rFont val="Noto Sans CJK SC"/>
        <family val="2"/>
      </rPr>
      <t xml:space="preserve">混合节点。</t>
    </r>
  </si>
  <si>
    <r>
      <rPr>
        <sz val="10"/>
        <rFont val="Noto Sans CJK SC"/>
        <family val="2"/>
      </rPr>
      <t xml:space="preserve">现行：</t>
    </r>
    <r>
      <rPr>
        <sz val="10"/>
        <rFont val="Arial"/>
        <family val="0"/>
        <charset val="1"/>
      </rPr>
      <t xml:space="preserve">7 </t>
    </r>
    <r>
      <rPr>
        <sz val="10"/>
        <rFont val="Noto Sans CJK SC"/>
        <family val="2"/>
      </rPr>
      <t xml:space="preserve">个节点，其中 </t>
    </r>
    <r>
      <rPr>
        <sz val="10"/>
        <rFont val="Arial"/>
        <family val="0"/>
        <charset val="1"/>
      </rPr>
      <t xml:space="preserve">3 </t>
    </r>
    <r>
      <rPr>
        <sz val="10"/>
        <rFont val="Noto Sans CJK SC"/>
        <family val="2"/>
      </rPr>
      <t xml:space="preserve">个 </t>
    </r>
    <r>
      <rPr>
        <sz val="10"/>
        <rFont val="Arial"/>
        <family val="0"/>
        <charset val="1"/>
      </rPr>
      <t xml:space="preserve">rule-based</t>
    </r>
    <r>
      <rPr>
        <sz val="10"/>
        <rFont val="Noto Sans CJK SC"/>
        <family val="2"/>
      </rPr>
      <t xml:space="preserve">（</t>
    </r>
    <r>
      <rPr>
        <sz val="10"/>
        <rFont val="Arial"/>
        <family val="0"/>
        <charset val="1"/>
      </rPr>
      <t xml:space="preserve">#5</t>
    </r>
    <r>
      <rPr>
        <sz val="10"/>
        <rFont val="Noto Sans CJK SC"/>
        <family val="2"/>
      </rPr>
      <t xml:space="preserve">、</t>
    </r>
    <r>
      <rPr>
        <sz val="10"/>
        <rFont val="Arial"/>
        <family val="0"/>
        <charset val="1"/>
      </rPr>
      <t xml:space="preserve">#6</t>
    </r>
    <r>
      <rPr>
        <sz val="10"/>
        <rFont val="Noto Sans CJK SC"/>
        <family val="2"/>
      </rPr>
      <t xml:space="preserve">、</t>
    </r>
    <r>
      <rPr>
        <sz val="10"/>
        <rFont val="Arial"/>
        <family val="0"/>
        <charset val="1"/>
      </rPr>
      <t xml:space="preserve">#7</t>
    </r>
    <r>
      <rPr>
        <sz val="10"/>
        <rFont val="Noto Sans CJK SC"/>
        <family val="2"/>
      </rPr>
      <t xml:space="preserve">）、</t>
    </r>
    <r>
      <rPr>
        <sz val="10"/>
        <rFont val="Arial"/>
        <family val="0"/>
        <charset val="1"/>
      </rPr>
      <t xml:space="preserve">4 </t>
    </r>
    <r>
      <rPr>
        <sz val="10"/>
        <rFont val="Noto Sans CJK SC"/>
        <family val="2"/>
      </rPr>
      <t xml:space="preserve">个 </t>
    </r>
    <r>
      <rPr>
        <sz val="10"/>
        <rFont val="Arial"/>
        <family val="0"/>
        <charset val="1"/>
      </rPr>
      <t xml:space="preserve">judgment-based</t>
    </r>
    <r>
      <rPr>
        <sz val="10"/>
        <rFont val="Noto Sans CJK SC"/>
        <family val="2"/>
      </rPr>
      <t xml:space="preserve">。</t>
    </r>
  </si>
  <si>
    <r>
      <rPr>
        <sz val="10"/>
        <rFont val="Arial"/>
        <family val="0"/>
        <charset val="1"/>
      </rPr>
      <t xml:space="preserve">Proposed</t>
    </r>
    <r>
      <rPr>
        <sz val="10"/>
        <rFont val="Noto Sans CJK SC"/>
        <family val="2"/>
      </rPr>
      <t xml:space="preserve">：</t>
    </r>
    <r>
      <rPr>
        <sz val="10"/>
        <rFont val="Arial"/>
        <family val="0"/>
        <charset val="1"/>
      </rPr>
      <t xml:space="preserve">4–5 </t>
    </r>
    <r>
      <rPr>
        <sz val="10"/>
        <rFont val="Noto Sans CJK SC"/>
        <family val="2"/>
      </rPr>
      <t xml:space="preserve">个节点，全部 </t>
    </r>
    <r>
      <rPr>
        <sz val="10"/>
        <rFont val="Arial"/>
        <family val="0"/>
        <charset val="1"/>
      </rPr>
      <t xml:space="preserve">judgment-based</t>
    </r>
    <r>
      <rPr>
        <sz val="10"/>
        <rFont val="Noto Sans CJK SC"/>
        <family val="2"/>
      </rPr>
      <t xml:space="preserve">（</t>
    </r>
    <r>
      <rPr>
        <sz val="10"/>
        <rFont val="Arial"/>
        <family val="0"/>
        <charset val="1"/>
      </rPr>
      <t xml:space="preserve">#1–#4</t>
    </r>
    <r>
      <rPr>
        <sz val="10"/>
        <rFont val="Noto Sans CJK SC"/>
        <family val="2"/>
      </rPr>
      <t xml:space="preserve">），新增 </t>
    </r>
    <r>
      <rPr>
        <sz val="10"/>
        <rFont val="Arial"/>
        <family val="0"/>
        <charset val="1"/>
      </rPr>
      <t xml:space="preserve">#3</t>
    </r>
    <r>
      <rPr>
        <sz val="10"/>
        <rFont val="Noto Sans CJK SC"/>
        <family val="2"/>
      </rPr>
      <t xml:space="preserve">。</t>
    </r>
  </si>
  <si>
    <r>
      <rPr>
        <sz val="10"/>
        <rFont val="Arial"/>
        <family val="0"/>
        <charset val="1"/>
      </rPr>
      <t xml:space="preserve">AJ </t>
    </r>
    <r>
      <rPr>
        <sz val="10"/>
        <rFont val="Noto Sans CJK SC"/>
        <family val="2"/>
      </rPr>
      <t xml:space="preserve">节点数量减少，但 </t>
    </r>
    <r>
      <rPr>
        <sz val="10"/>
        <rFont val="Arial"/>
        <family val="0"/>
        <charset val="1"/>
      </rPr>
      <t xml:space="preserve">rule-based </t>
    </r>
    <r>
      <rPr>
        <sz val="10"/>
        <rFont val="Noto Sans CJK SC"/>
        <family val="2"/>
      </rPr>
      <t xml:space="preserve">节点全部换成 </t>
    </r>
    <r>
      <rPr>
        <sz val="10"/>
        <rFont val="Arial"/>
        <family val="0"/>
        <charset val="1"/>
      </rPr>
      <t xml:space="preserve">judgment-based </t>
    </r>
    <r>
      <rPr>
        <sz val="10"/>
        <rFont val="Noto Sans CJK SC"/>
        <family val="2"/>
      </rPr>
      <t xml:space="preserve">节点；方向与 </t>
    </r>
    <r>
      <rPr>
        <sz val="10"/>
        <rFont val="Arial"/>
        <family val="0"/>
        <charset val="1"/>
      </rPr>
      <t xml:space="preserve">squad </t>
    </r>
    <r>
      <rPr>
        <sz val="10"/>
        <rFont val="Noto Sans CJK SC"/>
        <family val="2"/>
      </rPr>
      <t xml:space="preserve">自述的 </t>
    </r>
    <r>
      <rPr>
        <sz val="10"/>
        <rFont val="Arial"/>
        <family val="0"/>
        <charset val="1"/>
      </rPr>
      <t xml:space="preserve">asymmetry </t>
    </r>
    <r>
      <rPr>
        <sz val="10"/>
        <rFont val="Noto Sans CJK SC"/>
        <family val="2"/>
      </rPr>
      <t xml:space="preserve">原则一致（只保留 </t>
    </r>
    <r>
      <rPr>
        <sz val="10"/>
        <rFont val="Arial"/>
        <family val="0"/>
        <charset val="1"/>
      </rPr>
      <t xml:space="preserve">downward judgment</t>
    </r>
    <r>
      <rPr>
        <sz val="10"/>
        <rFont val="Noto Sans CJK SC"/>
        <family val="2"/>
      </rPr>
      <t xml:space="preserve">）。</t>
    </r>
  </si>
  <si>
    <r>
      <rPr>
        <sz val="10"/>
        <rFont val="Noto Sans CJK SC"/>
        <family val="2"/>
      </rPr>
      <t xml:space="preserve">整体：与 </t>
    </r>
    <r>
      <rPr>
        <sz val="10"/>
        <rFont val="Arial"/>
        <family val="0"/>
        <charset val="1"/>
      </rPr>
      <t xml:space="preserve">"systematizing analytical judgement" </t>
    </r>
    <r>
      <rPr>
        <sz val="10"/>
        <rFont val="Noto Sans CJK SC"/>
        <family val="2"/>
      </rPr>
      <t xml:space="preserve">的目标存在张力。除非 </t>
    </r>
    <r>
      <rPr>
        <sz val="10"/>
        <rFont val="Arial"/>
        <family val="0"/>
        <charset val="1"/>
      </rPr>
      <t xml:space="preserve">draft </t>
    </r>
    <r>
      <rPr>
        <sz val="10"/>
        <rFont val="Noto Sans CJK SC"/>
        <family val="2"/>
      </rPr>
      <t xml:space="preserve">为 </t>
    </r>
    <r>
      <rPr>
        <sz val="10"/>
        <rFont val="Arial"/>
        <family val="0"/>
        <charset val="1"/>
      </rPr>
      <t xml:space="preserve">#2 </t>
    </r>
    <r>
      <rPr>
        <sz val="10"/>
        <rFont val="Noto Sans CJK SC"/>
        <family val="2"/>
      </rPr>
      <t xml:space="preserve">与 </t>
    </r>
    <r>
      <rPr>
        <sz val="10"/>
        <rFont val="Arial"/>
        <family val="0"/>
        <charset val="1"/>
      </rPr>
      <t xml:space="preserve">#3 </t>
    </r>
    <r>
      <rPr>
        <sz val="10"/>
        <rFont val="Noto Sans CJK SC"/>
        <family val="2"/>
      </rPr>
      <t xml:space="preserve">定义触发条件，否则为 </t>
    </r>
    <r>
      <rPr>
        <sz val="10"/>
        <rFont val="Arial"/>
        <family val="0"/>
        <charset val="1"/>
      </rPr>
      <t xml:space="preserve">Comment </t>
    </r>
    <r>
      <rPr>
        <sz val="10"/>
        <rFont val="Noto Sans CJK SC"/>
        <family val="2"/>
      </rPr>
      <t xml:space="preserve">候选（参照 </t>
    </r>
    <r>
      <rPr>
        <sz val="10"/>
        <rFont val="Arial"/>
        <family val="0"/>
        <charset val="1"/>
      </rPr>
      <t xml:space="preserve">CP-49 Comment 7</t>
    </r>
    <r>
      <rPr>
        <sz val="10"/>
        <rFont val="Noto Sans CJK SC"/>
        <family val="2"/>
      </rPr>
      <t xml:space="preserve">）。</t>
    </r>
  </si>
  <si>
    <r>
      <rPr>
        <b val="true"/>
        <sz val="13"/>
        <rFont val="Noto Sans CJK SC"/>
        <family val="2"/>
      </rPr>
      <t xml:space="preserve">题 </t>
    </r>
    <r>
      <rPr>
        <b val="true"/>
        <sz val="13"/>
        <rFont val="Arial"/>
        <family val="0"/>
        <charset val="1"/>
      </rPr>
      <t xml:space="preserve">9 — Wording / logic </t>
    </r>
    <r>
      <rPr>
        <b val="true"/>
        <sz val="13"/>
        <rFont val="Noto Sans CJK SC"/>
        <family val="2"/>
      </rPr>
      <t xml:space="preserve">观察点（未来 </t>
    </r>
    <r>
      <rPr>
        <b val="true"/>
        <sz val="13"/>
        <rFont val="Arial"/>
        <family val="0"/>
        <charset val="1"/>
      </rPr>
      <t xml:space="preserve">Comments </t>
    </r>
    <r>
      <rPr>
        <b val="true"/>
        <sz val="13"/>
        <rFont val="Noto Sans CJK SC"/>
        <family val="2"/>
      </rPr>
      <t xml:space="preserve">草稿）</t>
    </r>
  </si>
  <si>
    <r>
      <rPr>
        <i val="true"/>
        <sz val="9"/>
        <color rgb="FF555555"/>
        <rFont val="Noto Sans CJK SC"/>
        <family val="2"/>
      </rPr>
      <t xml:space="preserve">遵守 </t>
    </r>
    <r>
      <rPr>
        <i val="true"/>
        <sz val="9"/>
        <color rgb="FF555555"/>
        <rFont val="Arial"/>
        <family val="0"/>
        <charset val="1"/>
      </rPr>
      <t xml:space="preserve">Ground Rule G</t>
    </r>
    <r>
      <rPr>
        <i val="true"/>
        <sz val="9"/>
        <color rgb="FF555555"/>
        <rFont val="Noto Sans CJK SC"/>
        <family val="2"/>
      </rPr>
      <t xml:space="preserve">：只指出问题，不提建议。正式 </t>
    </r>
    <r>
      <rPr>
        <i val="true"/>
        <sz val="9"/>
        <color rgb="FF555555"/>
        <rFont val="Arial"/>
        <family val="0"/>
        <charset val="1"/>
      </rPr>
      <t xml:space="preserve">Comment </t>
    </r>
    <r>
      <rPr>
        <i val="true"/>
        <sz val="9"/>
        <color rgb="FF555555"/>
        <rFont val="Noto Sans CJK SC"/>
        <family val="2"/>
      </rPr>
      <t xml:space="preserve">需在 </t>
    </r>
    <r>
      <rPr>
        <i val="true"/>
        <sz val="9"/>
        <color rgb="FF555555"/>
        <rFont val="Arial"/>
        <family val="0"/>
        <charset val="1"/>
      </rPr>
      <t xml:space="preserve">RFC draft </t>
    </r>
    <r>
      <rPr>
        <i val="true"/>
        <sz val="9"/>
        <color rgb="FF555555"/>
        <rFont val="Noto Sans CJK SC"/>
        <family val="2"/>
      </rPr>
      <t xml:space="preserve">文本上确认后再提。</t>
    </r>
  </si>
  <si>
    <t xml:space="preserve">观察点</t>
  </si>
  <si>
    <t xml:space="preserve">来源</t>
  </si>
  <si>
    <t xml:space="preserve">类型</t>
  </si>
  <si>
    <r>
      <rPr>
        <b val="true"/>
        <sz val="10"/>
        <color rgb="FFFFFFFF"/>
        <rFont val="Arial"/>
        <family val="0"/>
        <charset val="1"/>
      </rPr>
      <t xml:space="preserve">Comment </t>
    </r>
    <r>
      <rPr>
        <b val="true"/>
        <sz val="10"/>
        <color rgb="FFFFFFFF"/>
        <rFont val="Noto Sans CJK SC"/>
        <family val="2"/>
      </rPr>
      <t xml:space="preserve">措辞草稿（</t>
    </r>
    <r>
      <rPr>
        <b val="true"/>
        <sz val="10"/>
        <color rgb="FFFFFFFF"/>
        <rFont val="Arial"/>
        <family val="0"/>
        <charset val="1"/>
      </rPr>
      <t xml:space="preserve">AQV noted …</t>
    </r>
    <r>
      <rPr>
        <b val="true"/>
        <sz val="10"/>
        <color rgb="FFFFFFFF"/>
        <rFont val="Noto Sans CJK SC"/>
        <family val="2"/>
      </rPr>
      <t xml:space="preserve">）</t>
    </r>
  </si>
  <si>
    <t xml:space="preserve">对照文件</t>
  </si>
  <si>
    <r>
      <rPr>
        <sz val="10"/>
        <rFont val="Arial"/>
        <family val="0"/>
        <charset val="1"/>
      </rPr>
      <t xml:space="preserve">July deck </t>
    </r>
    <r>
      <rPr>
        <sz val="10"/>
        <rFont val="Noto Sans CJK SC"/>
        <family val="2"/>
      </rPr>
      <t xml:space="preserve">写 </t>
    </r>
    <r>
      <rPr>
        <sz val="10"/>
        <rFont val="Arial"/>
        <family val="0"/>
        <charset val="1"/>
      </rPr>
      <t xml:space="preserve">adjustment "down or up by 1"</t>
    </r>
    <r>
      <rPr>
        <sz val="10"/>
        <rFont val="Noto Sans CJK SC"/>
        <family val="2"/>
      </rPr>
      <t xml:space="preserve">，</t>
    </r>
    <r>
      <rPr>
        <sz val="10"/>
        <rFont val="Arial"/>
        <family val="0"/>
        <charset val="1"/>
      </rPr>
      <t xml:space="preserve">Sept pptx </t>
    </r>
    <r>
      <rPr>
        <sz val="10"/>
        <rFont val="Noto Sans CJK SC"/>
        <family val="2"/>
      </rPr>
      <t xml:space="preserve">只允许 </t>
    </r>
    <r>
      <rPr>
        <sz val="10"/>
        <rFont val="Arial"/>
        <family val="0"/>
        <charset val="1"/>
      </rPr>
      <t xml:space="preserve">negative adjustment</t>
    </r>
    <r>
      <rPr>
        <sz val="10"/>
        <rFont val="Noto Sans CJK SC"/>
        <family val="2"/>
      </rPr>
      <t xml:space="preserve">。</t>
    </r>
  </si>
  <si>
    <r>
      <rPr>
        <sz val="10"/>
        <rFont val="Arial"/>
        <family val="0"/>
        <charset val="1"/>
      </rPr>
      <t xml:space="preserve">July deck Slide 11</t>
    </r>
    <r>
      <rPr>
        <sz val="10"/>
        <rFont val="Noto Sans CJK SC"/>
        <family val="2"/>
      </rPr>
      <t xml:space="preserve">；</t>
    </r>
    <r>
      <rPr>
        <sz val="10"/>
        <rFont val="Arial"/>
        <family val="0"/>
        <charset val="1"/>
      </rPr>
      <t xml:space="preserve">Sept pptx Slide 2</t>
    </r>
  </si>
  <si>
    <r>
      <rPr>
        <sz val="10"/>
        <rFont val="Arial"/>
        <family val="0"/>
        <charset val="1"/>
      </rPr>
      <t xml:space="preserve">Inconsistency</t>
    </r>
    <r>
      <rPr>
        <sz val="10"/>
        <rFont val="Noto Sans CJK SC"/>
        <family val="2"/>
      </rPr>
      <t xml:space="preserve">（</t>
    </r>
    <r>
      <rPr>
        <sz val="10"/>
        <rFont val="Arial"/>
        <family val="0"/>
        <charset val="1"/>
      </rPr>
      <t xml:space="preserve">squad </t>
    </r>
    <r>
      <rPr>
        <sz val="10"/>
        <rFont val="Noto Sans CJK SC"/>
        <family val="2"/>
      </rPr>
      <t xml:space="preserve">文件之间）</t>
    </r>
  </si>
  <si>
    <t xml:space="preserve">AQV noted that the July 2026 project deck describes a country risk adjustment "down or up by 1", whereas the September 2026 Country Risk Simplification deck allows a negative adjustment only.</t>
  </si>
  <si>
    <r>
      <rPr>
        <sz val="10"/>
        <rFont val="Noto Sans CJK SC"/>
        <family val="2"/>
      </rPr>
      <t xml:space="preserve">已有（待 </t>
    </r>
    <r>
      <rPr>
        <sz val="10"/>
        <rFont val="Arial"/>
        <family val="0"/>
        <charset val="1"/>
      </rPr>
      <t xml:space="preserve">draft </t>
    </r>
    <r>
      <rPr>
        <sz val="10"/>
        <rFont val="Noto Sans CJK SC"/>
        <family val="2"/>
      </rPr>
      <t xml:space="preserve">确认）</t>
    </r>
  </si>
  <si>
    <r>
      <rPr>
        <sz val="10"/>
        <rFont val="Arial"/>
        <family val="0"/>
        <charset val="1"/>
      </rPr>
      <t xml:space="preserve">pptx </t>
    </r>
    <r>
      <rPr>
        <sz val="10"/>
        <rFont val="Noto Sans CJK SC"/>
        <family val="2"/>
      </rPr>
      <t xml:space="preserve">的 </t>
    </r>
    <r>
      <rPr>
        <sz val="10"/>
        <rFont val="Arial"/>
        <family val="0"/>
        <charset val="1"/>
      </rPr>
      <t xml:space="preserve">para </t>
    </r>
    <r>
      <rPr>
        <sz val="10"/>
        <rFont val="Noto Sans CJK SC"/>
        <family val="2"/>
      </rPr>
      <t xml:space="preserve">编号（</t>
    </r>
    <r>
      <rPr>
        <sz val="10"/>
        <rFont val="Arial"/>
        <family val="0"/>
        <charset val="1"/>
      </rPr>
      <t xml:space="preserve">"Para 28" </t>
    </r>
    <r>
      <rPr>
        <sz val="10"/>
        <rFont val="Noto Sans CJK SC"/>
        <family val="2"/>
      </rPr>
      <t xml:space="preserve">指 </t>
    </r>
    <r>
      <rPr>
        <sz val="10"/>
        <rFont val="Arial"/>
        <family val="0"/>
        <charset val="1"/>
      </rPr>
      <t xml:space="preserve">5% / 20% thresholds</t>
    </r>
    <r>
      <rPr>
        <sz val="10"/>
        <rFont val="Noto Sans CJK SC"/>
        <family val="2"/>
      </rPr>
      <t xml:space="preserve">）与 </t>
    </r>
    <r>
      <rPr>
        <sz val="10"/>
        <rFont val="Arial"/>
        <family val="0"/>
        <charset val="1"/>
      </rPr>
      <t xml:space="preserve">2024 published </t>
    </r>
    <r>
      <rPr>
        <sz val="10"/>
        <rFont val="Noto Sans CJK SC"/>
        <family val="2"/>
      </rPr>
      <t xml:space="preserve">版本（</t>
    </r>
    <r>
      <rPr>
        <sz val="10"/>
        <rFont val="Arial"/>
        <family val="0"/>
        <charset val="1"/>
      </rPr>
      <t xml:space="preserve">para 27</t>
    </r>
    <r>
      <rPr>
        <sz val="10"/>
        <rFont val="Noto Sans CJK SC"/>
        <family val="2"/>
      </rPr>
      <t xml:space="preserve">）不一致。</t>
    </r>
  </si>
  <si>
    <t xml:space="preserve">Sept pptx Slide 1</t>
  </si>
  <si>
    <t xml:space="preserve">Reference</t>
  </si>
  <si>
    <t xml:space="preserve">AQV noted that paragraph references in the Country Risk Simplification deck do not match the paragraph numbering of the published Corporate Methodology (Jan. 7, 2024); the draft version referenced is unclear.</t>
  </si>
  <si>
    <r>
      <rPr>
        <sz val="10"/>
        <rFont val="Arial"/>
        <family val="0"/>
        <charset val="1"/>
      </rPr>
      <t xml:space="preserve">Corporate Methodology para 27</t>
    </r>
    <r>
      <rPr>
        <sz val="10"/>
        <rFont val="Noto Sans CJK SC"/>
        <family val="2"/>
      </rPr>
      <t xml:space="preserve">、</t>
    </r>
    <r>
      <rPr>
        <sz val="10"/>
        <rFont val="Arial"/>
        <family val="0"/>
        <charset val="1"/>
      </rPr>
      <t xml:space="preserve">43</t>
    </r>
  </si>
  <si>
    <r>
      <rPr>
        <sz val="10"/>
        <rFont val="Noto Sans CJK SC"/>
        <family val="2"/>
      </rPr>
      <t xml:space="preserve">四处 </t>
    </r>
    <r>
      <rPr>
        <sz val="10"/>
        <rFont val="Arial"/>
        <family val="0"/>
        <charset val="1"/>
      </rPr>
      <t xml:space="preserve">"Rating impact: NONE" </t>
    </r>
    <r>
      <rPr>
        <sz val="10"/>
        <rFont val="Noto Sans CJK SC"/>
        <family val="2"/>
      </rPr>
      <t xml:space="preserve">在 </t>
    </r>
    <r>
      <rPr>
        <sz val="10"/>
        <rFont val="Arial"/>
        <family val="0"/>
        <charset val="1"/>
      </rPr>
      <t xml:space="preserve">testing</t>
    </r>
    <r>
      <rPr>
        <sz val="10"/>
        <rFont val="Noto Sans CJK SC"/>
        <family val="2"/>
      </rPr>
      <t xml:space="preserve">（</t>
    </r>
    <r>
      <rPr>
        <sz val="10"/>
        <rFont val="Arial"/>
        <family val="0"/>
        <charset val="1"/>
      </rPr>
      <t xml:space="preserve">9/7–10/26</t>
    </r>
    <r>
      <rPr>
        <sz val="10"/>
        <rFont val="Noto Sans CJK SC"/>
        <family val="2"/>
      </rPr>
      <t xml:space="preserve">）完成前提出，无测试支持。</t>
    </r>
  </si>
  <si>
    <t xml:space="preserve">Sept pptx Slides 2–4</t>
  </si>
  <si>
    <t xml:space="preserve">Support</t>
  </si>
  <si>
    <t xml:space="preserve">AQV noted that the stated rating impact for the country risk changes is not yet supported by impact testing results.</t>
  </si>
  <si>
    <t xml:space="preserve">CP-64 Comments 12–13</t>
  </si>
  <si>
    <r>
      <rPr>
        <sz val="10"/>
        <rFont val="Arial"/>
        <family val="0"/>
        <charset val="1"/>
      </rPr>
      <t xml:space="preserve">Country risk vs sovereign risk </t>
    </r>
    <r>
      <rPr>
        <sz val="10"/>
        <rFont val="Noto Sans CJK SC"/>
        <family val="2"/>
      </rPr>
      <t xml:space="preserve">的定义澄清尚无文字。</t>
    </r>
  </si>
  <si>
    <t xml:space="preserve">Omission</t>
  </si>
  <si>
    <t xml:space="preserve">AQV noted that the intended clarification of the definition of country risk relative to sovereign risk is not yet reflected in the proposal.</t>
  </si>
  <si>
    <r>
      <rPr>
        <sz val="10"/>
        <rFont val="Arial"/>
        <family val="0"/>
        <charset val="1"/>
      </rPr>
      <t xml:space="preserve">Country Risk Assessment criteria</t>
    </r>
    <r>
      <rPr>
        <sz val="10"/>
        <rFont val="Noto Sans CJK SC"/>
        <family val="2"/>
      </rPr>
      <t xml:space="preserve">；</t>
    </r>
    <r>
      <rPr>
        <sz val="10"/>
        <rFont val="Arial"/>
        <family val="0"/>
        <charset val="1"/>
      </rPr>
      <t xml:space="preserve">C&amp;G RAS</t>
    </r>
  </si>
  <si>
    <r>
      <rPr>
        <sz val="10"/>
        <rFont val="Arial"/>
        <family val="0"/>
        <charset val="1"/>
      </rPr>
      <t xml:space="preserve">Weak-link </t>
    </r>
    <r>
      <rPr>
        <sz val="10"/>
        <rFont val="Noto Sans CJK SC"/>
        <family val="2"/>
      </rPr>
      <t xml:space="preserve">的触发条件从 </t>
    </r>
    <r>
      <rPr>
        <sz val="10"/>
        <rFont val="Arial"/>
        <family val="0"/>
        <charset val="1"/>
      </rPr>
      <t xml:space="preserve">para 44 </t>
    </r>
    <r>
      <rPr>
        <sz val="10"/>
        <rFont val="Noto Sans CJK SC"/>
        <family val="2"/>
      </rPr>
      <t xml:space="preserve">的三种情形退化为 </t>
    </r>
    <r>
      <rPr>
        <sz val="10"/>
        <rFont val="Arial"/>
        <family val="0"/>
        <charset val="1"/>
      </rPr>
      <t xml:space="preserve">"when more relevant"</t>
    </r>
    <r>
      <rPr>
        <sz val="10"/>
        <rFont val="Noto Sans CJK SC"/>
        <family val="2"/>
      </rPr>
      <t xml:space="preserve">。</t>
    </r>
  </si>
  <si>
    <t xml:space="preserve">Sept pptx Slide 2</t>
  </si>
  <si>
    <t xml:space="preserve">Ambiguity</t>
  </si>
  <si>
    <t xml:space="preserve">AQV noted that the proposal does not define the circumstances under which the weak-link approach is applied in place of the weighted average, whereas the current paragraph 44 defines three such circumstances.</t>
  </si>
  <si>
    <t xml:space="preserve">Corporate Methodology para 44</t>
  </si>
  <si>
    <r>
      <rPr>
        <sz val="10"/>
        <rFont val="Arial"/>
        <family val="0"/>
        <charset val="1"/>
      </rPr>
      <t xml:space="preserve">−1 notching </t>
    </r>
    <r>
      <rPr>
        <sz val="10"/>
        <rFont val="Noto Sans CJK SC"/>
        <family val="2"/>
      </rPr>
      <t xml:space="preserve">只有示例（</t>
    </r>
    <r>
      <rPr>
        <sz val="10"/>
        <rFont val="Arial"/>
        <family val="0"/>
        <charset val="1"/>
      </rPr>
      <t xml:space="preserve">dominant supplier</t>
    </r>
    <r>
      <rPr>
        <sz val="10"/>
        <rFont val="Noto Sans CJK SC"/>
        <family val="2"/>
      </rPr>
      <t xml:space="preserve">），无触发条件与 </t>
    </r>
    <r>
      <rPr>
        <sz val="10"/>
        <rFont val="Arial"/>
        <family val="0"/>
        <charset val="1"/>
      </rPr>
      <t xml:space="preserve">documentation </t>
    </r>
    <r>
      <rPr>
        <sz val="10"/>
        <rFont val="Noto Sans CJK SC"/>
        <family val="2"/>
      </rPr>
      <t xml:space="preserve">要求。</t>
    </r>
  </si>
  <si>
    <t xml:space="preserve">AJ without guidance</t>
  </si>
  <si>
    <t xml:space="preserve">AQV noted that the proposed negative adjustment to the weighted-average country risk outcome is illustrated by a single example and not accompanied by conditions for its application.</t>
  </si>
  <si>
    <r>
      <rPr>
        <sz val="10"/>
        <rFont val="Arial"/>
        <family val="0"/>
        <charset val="1"/>
      </rPr>
      <t xml:space="preserve">C&amp;G RAS para 58</t>
    </r>
    <r>
      <rPr>
        <sz val="10"/>
        <rFont val="Noto Sans CJK SC"/>
        <family val="2"/>
      </rPr>
      <t xml:space="preserve">；</t>
    </r>
    <r>
      <rPr>
        <sz val="10"/>
        <rFont val="Arial"/>
        <family val="0"/>
        <charset val="1"/>
      </rPr>
      <t xml:space="preserve">CP-49 Comment 7</t>
    </r>
  </si>
  <si>
    <r>
      <rPr>
        <sz val="10"/>
        <rFont val="Noto Sans CJK SC"/>
        <family val="2"/>
      </rPr>
      <t xml:space="preserve">最终 </t>
    </r>
    <r>
      <rPr>
        <sz val="10"/>
        <rFont val="Arial"/>
        <family val="0"/>
        <charset val="1"/>
      </rPr>
      <t xml:space="preserve">integer rounding </t>
    </r>
    <r>
      <rPr>
        <sz val="10"/>
        <rFont val="Noto Sans CJK SC"/>
        <family val="2"/>
      </rPr>
      <t xml:space="preserve">与 </t>
    </r>
    <r>
      <rPr>
        <sz val="10"/>
        <rFont val="Arial"/>
        <family val="0"/>
        <charset val="1"/>
      </rPr>
      <t xml:space="preserve">x.5 </t>
    </r>
    <r>
      <rPr>
        <sz val="10"/>
        <rFont val="Noto Sans CJK SC"/>
        <family val="2"/>
      </rPr>
      <t xml:space="preserve">的处理未提。</t>
    </r>
  </si>
  <si>
    <r>
      <rPr>
        <sz val="10"/>
        <rFont val="Arial"/>
        <family val="0"/>
        <charset val="1"/>
      </rPr>
      <t xml:space="preserve">Sept pptx Slide 2</t>
    </r>
    <r>
      <rPr>
        <sz val="10"/>
        <rFont val="Noto Sans CJK SC"/>
        <family val="2"/>
      </rPr>
      <t xml:space="preserve">；</t>
    </r>
    <r>
      <rPr>
        <sz val="10"/>
        <rFont val="Arial"/>
        <family val="0"/>
        <charset val="1"/>
      </rPr>
      <t xml:space="preserve">Slide 12</t>
    </r>
  </si>
  <si>
    <t xml:space="preserve">AQV noted that the proposal does not state whether the weighted-average outcome continues to be rounded to the nearest integer, nor how a mid-point value is treated.</t>
  </si>
  <si>
    <r>
      <rPr>
        <sz val="10"/>
        <rFont val="Arial"/>
        <family val="0"/>
        <charset val="1"/>
      </rPr>
      <t xml:space="preserve">Corporate Methodology para 43</t>
    </r>
    <r>
      <rPr>
        <sz val="10"/>
        <rFont val="Noto Sans CJK SC"/>
        <family val="2"/>
      </rPr>
      <t xml:space="preserve">；</t>
    </r>
    <r>
      <rPr>
        <sz val="10"/>
        <rFont val="Arial"/>
        <family val="0"/>
        <charset val="1"/>
      </rPr>
      <t xml:space="preserve">FI methodology Table 2</t>
    </r>
    <r>
      <rPr>
        <sz val="10"/>
        <rFont val="Noto Sans CJK SC"/>
        <family val="2"/>
      </rPr>
      <t xml:space="preserve">（</t>
    </r>
    <r>
      <rPr>
        <sz val="10"/>
        <rFont val="Arial"/>
        <family val="0"/>
        <charset val="1"/>
      </rPr>
      <t xml:space="preserve">2.55→3</t>
    </r>
    <r>
      <rPr>
        <sz val="10"/>
        <rFont val="Noto Sans CJK SC"/>
        <family val="2"/>
      </rPr>
      <t xml:space="preserve">）</t>
    </r>
  </si>
  <si>
    <r>
      <rPr>
        <sz val="10"/>
        <rFont val="Noto Sans CJK SC"/>
        <family val="2"/>
      </rPr>
      <t xml:space="preserve">待 </t>
    </r>
    <r>
      <rPr>
        <sz val="10"/>
        <rFont val="Arial"/>
        <family val="0"/>
        <charset val="1"/>
      </rPr>
      <t xml:space="preserve">draft / A.5</t>
    </r>
  </si>
  <si>
    <r>
      <rPr>
        <sz val="10"/>
        <rFont val="Arial"/>
        <family val="0"/>
        <charset val="1"/>
      </rPr>
      <t xml:space="preserve">Regional score </t>
    </r>
    <r>
      <rPr>
        <sz val="10"/>
        <rFont val="Noto Sans CJK SC"/>
        <family val="2"/>
      </rPr>
      <t xml:space="preserve">的计算方法（</t>
    </r>
    <r>
      <rPr>
        <sz val="10"/>
        <rFont val="Arial"/>
        <family val="0"/>
        <charset val="1"/>
      </rPr>
      <t xml:space="preserve">GDP </t>
    </r>
    <r>
      <rPr>
        <sz val="10"/>
        <rFont val="Noto Sans CJK SC"/>
        <family val="2"/>
      </rPr>
      <t xml:space="preserve">加权，</t>
    </r>
    <r>
      <rPr>
        <sz val="10"/>
        <rFont val="Arial"/>
        <family val="0"/>
        <charset val="1"/>
      </rPr>
      <t xml:space="preserve">Appendix A Table 26</t>
    </r>
    <r>
      <rPr>
        <sz val="10"/>
        <rFont val="Noto Sans CJK SC"/>
        <family val="2"/>
      </rPr>
      <t xml:space="preserve">）未提。</t>
    </r>
  </si>
  <si>
    <t xml:space="preserve">AQV noted that the proposal refers to regional exposures without stating how regional risk assessments are derived.</t>
  </si>
  <si>
    <r>
      <rPr>
        <sz val="10"/>
        <rFont val="Arial"/>
        <family val="0"/>
        <charset val="1"/>
      </rPr>
      <t xml:space="preserve">Corporate Methodology para 46</t>
    </r>
    <r>
      <rPr>
        <sz val="10"/>
        <rFont val="Noto Sans CJK SC"/>
        <family val="2"/>
      </rPr>
      <t xml:space="preserve">、</t>
    </r>
    <r>
      <rPr>
        <sz val="10"/>
        <rFont val="Arial"/>
        <family val="0"/>
        <charset val="1"/>
      </rPr>
      <t xml:space="preserve">Table 26</t>
    </r>
  </si>
  <si>
    <r>
      <rPr>
        <sz val="10"/>
        <rFont val="Arial"/>
        <family val="0"/>
        <charset val="1"/>
      </rPr>
      <t xml:space="preserve">paras 45</t>
    </r>
    <r>
      <rPr>
        <sz val="10"/>
        <rFont val="Noto Sans CJK SC"/>
        <family val="2"/>
      </rPr>
      <t xml:space="preserve">、</t>
    </r>
    <r>
      <rPr>
        <sz val="10"/>
        <rFont val="Arial"/>
        <family val="0"/>
        <charset val="1"/>
      </rPr>
      <t xml:space="preserve">47</t>
    </r>
    <r>
      <rPr>
        <sz val="10"/>
        <rFont val="Noto Sans CJK SC"/>
        <family val="2"/>
      </rPr>
      <t xml:space="preserve">、</t>
    </r>
    <r>
      <rPr>
        <sz val="10"/>
        <rFont val="Arial"/>
        <family val="0"/>
        <charset val="1"/>
      </rPr>
      <t xml:space="preserve">50</t>
    </r>
    <r>
      <rPr>
        <sz val="10"/>
        <rFont val="Noto Sans CJK SC"/>
        <family val="2"/>
      </rPr>
      <t xml:space="preserve">、</t>
    </r>
    <r>
      <rPr>
        <sz val="10"/>
        <rFont val="Arial"/>
        <family val="0"/>
        <charset val="1"/>
      </rPr>
      <t xml:space="preserve">51</t>
    </r>
    <r>
      <rPr>
        <sz val="10"/>
        <rFont val="Noto Sans CJK SC"/>
        <family val="2"/>
      </rPr>
      <t xml:space="preserve">（</t>
    </r>
    <r>
      <rPr>
        <sz val="10"/>
        <rFont val="Arial"/>
        <family val="0"/>
        <charset val="1"/>
      </rPr>
      <t xml:space="preserve">de facto head office </t>
    </r>
    <r>
      <rPr>
        <sz val="10"/>
        <rFont val="Noto Sans CJK SC"/>
        <family val="2"/>
      </rPr>
      <t xml:space="preserve">定义）的去向未提。</t>
    </r>
  </si>
  <si>
    <t xml:space="preserve">Sept pptx</t>
  </si>
  <si>
    <t xml:space="preserve">AQV noted that the proposal does not address the treatment of the exporter mitigation (paragraph 45), the estimation of undisclosed exposures (paragraph 47), the 75% single-jurisdiction rule (paragraph 50) and the de facto head office definition (paragraph 51).</t>
  </si>
  <si>
    <r>
      <rPr>
        <sz val="10"/>
        <rFont val="Arial"/>
        <family val="0"/>
        <charset val="1"/>
      </rPr>
      <t xml:space="preserve">para 26 </t>
    </r>
    <r>
      <rPr>
        <sz val="10"/>
        <rFont val="Noto Sans CJK SC"/>
        <family val="2"/>
      </rPr>
      <t xml:space="preserve">删除的 </t>
    </r>
    <r>
      <rPr>
        <sz val="10"/>
        <rFont val="Arial"/>
        <family val="0"/>
        <charset val="1"/>
      </rPr>
      <t xml:space="preserve">"no rating impact" </t>
    </r>
    <r>
      <rPr>
        <sz val="10"/>
        <rFont val="Noto Sans CJK SC"/>
        <family val="2"/>
      </rPr>
      <t xml:space="preserve">只谈 </t>
    </r>
    <r>
      <rPr>
        <sz val="10"/>
        <rFont val="Arial"/>
        <family val="0"/>
        <charset val="1"/>
      </rPr>
      <t xml:space="preserve">ICR</t>
    </r>
    <r>
      <rPr>
        <sz val="10"/>
        <rFont val="Noto Sans CJK SC"/>
        <family val="2"/>
      </rPr>
      <t xml:space="preserve">，不谈 </t>
    </r>
    <r>
      <rPr>
        <sz val="10"/>
        <rFont val="Arial"/>
        <family val="0"/>
        <charset val="1"/>
      </rPr>
      <t xml:space="preserve">SACP</t>
    </r>
    <r>
      <rPr>
        <sz val="10"/>
        <rFont val="Noto Sans CJK SC"/>
        <family val="2"/>
      </rPr>
      <t xml:space="preserve">；两个名字疑为同一 </t>
    </r>
    <r>
      <rPr>
        <sz val="10"/>
        <rFont val="Arial"/>
        <family val="0"/>
        <charset val="1"/>
      </rPr>
      <t xml:space="preserve">group</t>
    </r>
    <r>
      <rPr>
        <sz val="10"/>
        <rFont val="Noto Sans CJK SC"/>
        <family val="2"/>
      </rPr>
      <t xml:space="preserve">。</t>
    </r>
  </si>
  <si>
    <t xml:space="preserve">Sept pptx Slide 3</t>
  </si>
  <si>
    <t xml:space="preserve">AQV noted that the stated absence of rating impact from removing the paragraph 26 exception relies on parent or government support for two entities and does not address the change in their SACPs; AQV also noted that the two entities appear to belong to the same group.</t>
  </si>
  <si>
    <t xml:space="preserve">GRE / Group Rating methodology</t>
  </si>
  <si>
    <r>
      <rPr>
        <sz val="10"/>
        <rFont val="Noto Sans CJK SC"/>
        <family val="2"/>
      </rPr>
      <t xml:space="preserve">待 </t>
    </r>
    <r>
      <rPr>
        <sz val="10"/>
        <rFont val="Arial"/>
        <family val="0"/>
        <charset val="1"/>
      </rPr>
      <t xml:space="preserve">A.3</t>
    </r>
  </si>
  <si>
    <r>
      <rPr>
        <sz val="10"/>
        <rFont val="Arial"/>
        <family val="0"/>
        <charset val="1"/>
      </rPr>
      <t xml:space="preserve">"country diversification is captured in S/S/D" </t>
    </r>
    <r>
      <rPr>
        <sz val="10"/>
        <rFont val="Noto Sans CJK SC"/>
        <family val="2"/>
      </rPr>
      <t xml:space="preserve">的论证：</t>
    </r>
    <r>
      <rPr>
        <sz val="10"/>
        <rFont val="Arial"/>
        <family val="0"/>
        <charset val="1"/>
      </rPr>
      <t xml:space="preserve">S/S/D paras 217–219 </t>
    </r>
    <r>
      <rPr>
        <sz val="10"/>
        <rFont val="Noto Sans CJK SC"/>
        <family val="2"/>
      </rPr>
      <t xml:space="preserve">讨论的是地理集中度而非 </t>
    </r>
    <r>
      <rPr>
        <sz val="10"/>
        <rFont val="Arial"/>
        <family val="0"/>
        <charset val="1"/>
      </rPr>
      <t xml:space="preserve">country risk level </t>
    </r>
    <r>
      <rPr>
        <sz val="10"/>
        <rFont val="Noto Sans CJK SC"/>
        <family val="2"/>
      </rPr>
      <t xml:space="preserve">的分散。</t>
    </r>
  </si>
  <si>
    <t xml:space="preserve">Sept pptx Slide 4</t>
  </si>
  <si>
    <t xml:space="preserve">Logic</t>
  </si>
  <si>
    <t xml:space="preserve">AQV noted that the rationale for removing the diversity adjustment refers to the scale, scope and diversity assessment, which addresses geographic concentration of operations and demand rather than diversification across country risk levels.</t>
  </si>
  <si>
    <t xml:space="preserve">Corporate Methodology paras 217–219</t>
  </si>
  <si>
    <r>
      <rPr>
        <sz val="10"/>
        <rFont val="Noto Sans CJK SC"/>
        <family val="2"/>
      </rPr>
      <t xml:space="preserve">已有（待 </t>
    </r>
    <r>
      <rPr>
        <sz val="10"/>
        <rFont val="Arial"/>
        <family val="0"/>
        <charset val="1"/>
      </rPr>
      <t xml:space="preserve">draft</t>
    </r>
    <r>
      <rPr>
        <sz val="10"/>
        <rFont val="Noto Sans CJK SC"/>
        <family val="2"/>
      </rPr>
      <t xml:space="preserve">）</t>
    </r>
  </si>
  <si>
    <r>
      <rPr>
        <sz val="10"/>
        <rFont val="Arial"/>
        <family val="0"/>
        <charset val="1"/>
      </rPr>
      <t xml:space="preserve">para 87 </t>
    </r>
    <r>
      <rPr>
        <sz val="10"/>
        <rFont val="Noto Sans CJK SC"/>
        <family val="2"/>
      </rPr>
      <t xml:space="preserve">的 </t>
    </r>
    <r>
      <rPr>
        <sz val="10"/>
        <rFont val="Arial"/>
        <family val="0"/>
        <charset val="1"/>
      </rPr>
      <t xml:space="preserve">"weighted country risk assessment" </t>
    </r>
    <r>
      <rPr>
        <sz val="10"/>
        <rFont val="Noto Sans CJK SC"/>
        <family val="2"/>
      </rPr>
      <t xml:space="preserve">措辞依赖 </t>
    </r>
    <r>
      <rPr>
        <sz val="10"/>
        <rFont val="Arial"/>
        <family val="0"/>
        <charset val="1"/>
      </rPr>
      <t xml:space="preserve">weighted </t>
    </r>
    <r>
      <rPr>
        <sz val="10"/>
        <rFont val="Noto Sans CJK SC"/>
        <family val="2"/>
      </rPr>
      <t xml:space="preserve">概念；若最终 </t>
    </r>
    <r>
      <rPr>
        <sz val="10"/>
        <rFont val="Arial"/>
        <family val="0"/>
        <charset val="1"/>
      </rPr>
      <t xml:space="preserve">CR </t>
    </r>
    <r>
      <rPr>
        <sz val="10"/>
        <rFont val="Noto Sans CJK SC"/>
        <family val="2"/>
      </rPr>
      <t xml:space="preserve">经 </t>
    </r>
    <r>
      <rPr>
        <sz val="10"/>
        <rFont val="Arial"/>
        <family val="0"/>
        <charset val="1"/>
      </rPr>
      <t xml:space="preserve">weak-link </t>
    </r>
    <r>
      <rPr>
        <sz val="10"/>
        <rFont val="Noto Sans CJK SC"/>
        <family val="2"/>
      </rPr>
      <t xml:space="preserve">或 </t>
    </r>
    <r>
      <rPr>
        <sz val="10"/>
        <rFont val="Arial"/>
        <family val="0"/>
        <charset val="1"/>
      </rPr>
      <t xml:space="preserve">notching </t>
    </r>
    <r>
      <rPr>
        <sz val="10"/>
        <rFont val="Noto Sans CJK SC"/>
        <family val="2"/>
      </rPr>
      <t xml:space="preserve">得出，指代不明。</t>
    </r>
  </si>
  <si>
    <t xml:space="preserve">Corporate Methodology para 87</t>
  </si>
  <si>
    <r>
      <rPr>
        <sz val="10"/>
        <rFont val="Arial"/>
        <family val="0"/>
        <charset val="1"/>
      </rPr>
      <t xml:space="preserve">Consistency</t>
    </r>
    <r>
      <rPr>
        <sz val="10"/>
        <rFont val="Noto Sans CJK SC"/>
        <family val="2"/>
      </rPr>
      <t xml:space="preserve">（下游）</t>
    </r>
  </si>
  <si>
    <t xml:space="preserve">AQV noted that paragraph 87 refers to a "weighted country risk assessment", a term whose meaning depends on how the proposed determination is drafted.</t>
  </si>
  <si>
    <r>
      <rPr>
        <sz val="10"/>
        <rFont val="Noto Sans CJK SC"/>
        <family val="2"/>
      </rPr>
      <t xml:space="preserve">与 </t>
    </r>
    <r>
      <rPr>
        <sz val="10"/>
        <rFont val="Arial"/>
        <family val="0"/>
        <charset val="1"/>
      </rPr>
      <t xml:space="preserve">#2 </t>
    </r>
    <r>
      <rPr>
        <sz val="10"/>
        <rFont val="Noto Sans CJK SC"/>
        <family val="2"/>
      </rPr>
      <t xml:space="preserve">联动</t>
    </r>
  </si>
  <si>
    <r>
      <rPr>
        <sz val="10"/>
        <rFont val="Arial"/>
        <family val="0"/>
        <charset val="1"/>
      </rPr>
      <t xml:space="preserve">Slide 1 </t>
    </r>
    <r>
      <rPr>
        <sz val="10"/>
        <rFont val="Noto Sans CJK SC"/>
        <family val="2"/>
      </rPr>
      <t xml:space="preserve">的 </t>
    </r>
    <r>
      <rPr>
        <sz val="10"/>
        <rFont val="Arial"/>
        <family val="0"/>
        <charset val="1"/>
      </rPr>
      <t xml:space="preserve">"remove country risk analysis when 1, 2, 3" </t>
    </r>
    <r>
      <rPr>
        <sz val="10"/>
        <rFont val="Noto Sans CJK SC"/>
        <family val="2"/>
      </rPr>
      <t xml:space="preserve">与 </t>
    </r>
    <r>
      <rPr>
        <sz val="10"/>
        <rFont val="Arial"/>
        <family val="0"/>
        <charset val="1"/>
      </rPr>
      <t xml:space="preserve">"supply-chain country missing from the blending options" </t>
    </r>
    <r>
      <rPr>
        <sz val="10"/>
        <rFont val="Noto Sans CJK SC"/>
        <family val="2"/>
      </rPr>
      <t xml:space="preserve">两点：前者未进入 </t>
    </r>
    <r>
      <rPr>
        <sz val="10"/>
        <rFont val="Arial"/>
        <family val="0"/>
        <charset val="1"/>
      </rPr>
      <t xml:space="preserve">proposal </t>
    </r>
    <r>
      <rPr>
        <sz val="10"/>
        <rFont val="Noto Sans CJK SC"/>
        <family val="2"/>
      </rPr>
      <t xml:space="preserve">且与 </t>
    </r>
    <r>
      <rPr>
        <sz val="10"/>
        <rFont val="Arial"/>
        <family val="0"/>
        <charset val="1"/>
      </rPr>
      <t xml:space="preserve">para 87 / SSCM </t>
    </r>
    <r>
      <rPr>
        <sz val="10"/>
        <rFont val="Noto Sans CJK SC"/>
        <family val="2"/>
      </rPr>
      <t xml:space="preserve">门槛冲突；后者与 </t>
    </r>
    <r>
      <rPr>
        <sz val="10"/>
        <rFont val="Arial"/>
        <family val="0"/>
        <charset val="1"/>
      </rPr>
      <t xml:space="preserve">para 44 </t>
    </r>
    <r>
      <rPr>
        <sz val="10"/>
        <rFont val="Noto Sans CJK SC"/>
        <family val="2"/>
      </rPr>
      <t xml:space="preserve">已含供应商情形不符。</t>
    </r>
  </si>
  <si>
    <t xml:space="preserve">AQV noted that the current paragraph 44 already addresses supplier exposure to a higher-risk country under the weak-link approach.</t>
  </si>
  <si>
    <r>
      <rPr>
        <sz val="10"/>
        <rFont val="Arial"/>
        <family val="0"/>
        <charset val="1"/>
      </rPr>
      <t xml:space="preserve">Corporate Methodology para 44</t>
    </r>
    <r>
      <rPr>
        <sz val="10"/>
        <rFont val="Noto Sans CJK SC"/>
        <family val="2"/>
      </rPr>
      <t xml:space="preserve">、</t>
    </r>
    <r>
      <rPr>
        <sz val="10"/>
        <rFont val="Arial"/>
        <family val="0"/>
        <charset val="1"/>
      </rPr>
      <t xml:space="preserve">87</t>
    </r>
    <r>
      <rPr>
        <sz val="10"/>
        <rFont val="Noto Sans CJK SC"/>
        <family val="2"/>
      </rPr>
      <t xml:space="preserve">；</t>
    </r>
    <r>
      <rPr>
        <sz val="10"/>
        <rFont val="Arial"/>
        <family val="0"/>
        <charset val="1"/>
      </rPr>
      <t xml:space="preserve">SSCM</t>
    </r>
  </si>
  <si>
    <r>
      <rPr>
        <b val="true"/>
        <sz val="13"/>
        <rFont val="Noto Sans CJK SC"/>
        <family val="2"/>
      </rPr>
      <t xml:space="preserve">题 </t>
    </r>
    <r>
      <rPr>
        <b val="true"/>
        <sz val="13"/>
        <rFont val="Arial"/>
        <family val="0"/>
        <charset val="1"/>
      </rPr>
      <t xml:space="preserve">5 / </t>
    </r>
    <r>
      <rPr>
        <b val="true"/>
        <sz val="13"/>
        <rFont val="Noto Sans CJK SC"/>
        <family val="2"/>
      </rPr>
      <t xml:space="preserve">题 </t>
    </r>
    <r>
      <rPr>
        <b val="true"/>
        <sz val="13"/>
        <rFont val="Arial"/>
        <family val="0"/>
        <charset val="1"/>
      </rPr>
      <t xml:space="preserve">10 — Squad </t>
    </r>
    <r>
      <rPr>
        <b val="true"/>
        <sz val="13"/>
        <rFont val="Noto Sans CJK SC"/>
        <family val="2"/>
      </rPr>
      <t xml:space="preserve">的数字与声明及 </t>
    </r>
    <r>
      <rPr>
        <b val="true"/>
        <sz val="13"/>
        <rFont val="Arial"/>
        <family val="0"/>
        <charset val="1"/>
      </rPr>
      <t xml:space="preserve">AQV </t>
    </r>
    <r>
      <rPr>
        <b val="true"/>
        <sz val="13"/>
        <rFont val="Noto Sans CJK SC"/>
        <family val="2"/>
      </rPr>
      <t xml:space="preserve">的核对动作</t>
    </r>
  </si>
  <si>
    <r>
      <rPr>
        <i val="true"/>
        <sz val="9"/>
        <color rgb="FF555555"/>
        <rFont val="Noto Sans CJK SC"/>
        <family val="2"/>
      </rPr>
      <t xml:space="preserve">来源全部为 </t>
    </r>
    <r>
      <rPr>
        <i val="true"/>
        <sz val="9"/>
        <color rgb="FF555555"/>
        <rFont val="Arial"/>
        <family val="0"/>
        <charset val="1"/>
      </rPr>
      <t xml:space="preserve">Country_Risk_Simplification.pptx</t>
    </r>
    <r>
      <rPr>
        <i val="true"/>
        <sz val="9"/>
        <color rgb="FF555555"/>
        <rFont val="Noto Sans CJK SC"/>
        <family val="2"/>
      </rPr>
      <t xml:space="preserve">（</t>
    </r>
    <r>
      <rPr>
        <i val="true"/>
        <sz val="9"/>
        <color rgb="FF555555"/>
        <rFont val="Arial"/>
        <family val="0"/>
        <charset val="1"/>
      </rPr>
      <t xml:space="preserve">Sept 2026</t>
    </r>
    <r>
      <rPr>
        <i val="true"/>
        <sz val="9"/>
        <color rgb="FF555555"/>
        <rFont val="Noto Sans CJK SC"/>
        <family val="2"/>
      </rPr>
      <t xml:space="preserve">）。</t>
    </r>
    <r>
      <rPr>
        <i val="true"/>
        <sz val="9"/>
        <color rgb="FF555555"/>
        <rFont val="Arial"/>
        <family val="0"/>
        <charset val="1"/>
      </rPr>
      <t xml:space="preserve">AQV </t>
    </r>
    <r>
      <rPr>
        <i val="true"/>
        <sz val="9"/>
        <color rgb="FF555555"/>
        <rFont val="Noto Sans CJK SC"/>
        <family val="2"/>
      </rPr>
      <t xml:space="preserve">尚未核对任何一项。</t>
    </r>
  </si>
  <si>
    <r>
      <rPr>
        <b val="true"/>
        <sz val="10"/>
        <color rgb="FFFFFFFF"/>
        <rFont val="Arial"/>
        <family val="0"/>
        <charset val="1"/>
      </rPr>
      <t xml:space="preserve">Squad </t>
    </r>
    <r>
      <rPr>
        <b val="true"/>
        <sz val="10"/>
        <color rgb="FFFFFFFF"/>
        <rFont val="Noto Sans CJK SC"/>
        <family val="2"/>
      </rPr>
      <t xml:space="preserve">的数字 </t>
    </r>
    <r>
      <rPr>
        <b val="true"/>
        <sz val="10"/>
        <color rgb="FFFFFFFF"/>
        <rFont val="Arial"/>
        <family val="0"/>
        <charset val="1"/>
      </rPr>
      <t xml:space="preserve">/ </t>
    </r>
    <r>
      <rPr>
        <b val="true"/>
        <sz val="10"/>
        <color rgb="FFFFFFFF"/>
        <rFont val="Noto Sans CJK SC"/>
        <family val="2"/>
      </rPr>
      <t xml:space="preserve">声明</t>
    </r>
  </si>
  <si>
    <r>
      <rPr>
        <b val="true"/>
        <sz val="10"/>
        <color rgb="FFFFFFFF"/>
        <rFont val="Arial"/>
        <family val="0"/>
        <charset val="1"/>
      </rPr>
      <t xml:space="preserve">AQV </t>
    </r>
    <r>
      <rPr>
        <b val="true"/>
        <sz val="10"/>
        <color rgb="FFFFFFFF"/>
        <rFont val="Noto Sans CJK SC"/>
        <family val="2"/>
      </rPr>
      <t xml:space="preserve">核对动作</t>
    </r>
  </si>
  <si>
    <t xml:space="preserve">所需数据</t>
  </si>
  <si>
    <t xml:space="preserve">初步评估</t>
  </si>
  <si>
    <t xml:space="preserve">A</t>
  </si>
  <si>
    <r>
      <rPr>
        <sz val="10"/>
        <rFont val="Arial"/>
        <family val="0"/>
        <charset val="1"/>
      </rPr>
      <t xml:space="preserve">para 26 exception </t>
    </r>
    <r>
      <rPr>
        <sz val="10"/>
        <rFont val="Noto Sans CJK SC"/>
        <family val="2"/>
      </rPr>
      <t xml:space="preserve">应用于 </t>
    </r>
    <r>
      <rPr>
        <sz val="10"/>
        <rFont val="Arial"/>
        <family val="0"/>
        <charset val="1"/>
      </rPr>
      <t xml:space="preserve">Transportation Cyclical </t>
    </r>
    <r>
      <rPr>
        <sz val="10"/>
        <rFont val="Noto Sans CJK SC"/>
        <family val="2"/>
      </rPr>
      <t xml:space="preserve">的 </t>
    </r>
    <r>
      <rPr>
        <sz val="10"/>
        <rFont val="Arial"/>
        <family val="0"/>
        <charset val="1"/>
      </rPr>
      <t xml:space="preserve">2 </t>
    </r>
    <r>
      <rPr>
        <sz val="10"/>
        <rFont val="Noto Sans CJK SC"/>
        <family val="2"/>
      </rPr>
      <t xml:space="preserve">个 </t>
    </r>
    <r>
      <rPr>
        <sz val="10"/>
        <rFont val="Arial"/>
        <family val="0"/>
        <charset val="1"/>
      </rPr>
      <t xml:space="preserve">entity</t>
    </r>
    <r>
      <rPr>
        <sz val="10"/>
        <rFont val="Noto Sans CJK SC"/>
        <family val="2"/>
      </rPr>
      <t xml:space="preserve">（</t>
    </r>
    <r>
      <rPr>
        <sz val="10"/>
        <rFont val="Arial"/>
        <family val="0"/>
        <charset val="1"/>
      </rPr>
      <t xml:space="preserve">CICRA 5</t>
    </r>
    <r>
      <rPr>
        <sz val="10"/>
        <rFont val="Noto Sans CJK SC"/>
        <family val="2"/>
      </rPr>
      <t xml:space="preserve">，</t>
    </r>
    <r>
      <rPr>
        <sz val="10"/>
        <rFont val="Arial"/>
        <family val="0"/>
        <charset val="1"/>
      </rPr>
      <t xml:space="preserve">Excellent CP</t>
    </r>
    <r>
      <rPr>
        <sz val="10"/>
        <rFont val="Noto Sans CJK SC"/>
        <family val="2"/>
      </rPr>
      <t xml:space="preserve">，</t>
    </r>
    <r>
      <rPr>
        <sz val="10"/>
        <rFont val="Arial"/>
        <family val="0"/>
        <charset val="1"/>
      </rPr>
      <t xml:space="preserve">CR ≤3</t>
    </r>
    <r>
      <rPr>
        <sz val="10"/>
        <rFont val="Noto Sans CJK SC"/>
        <family val="2"/>
      </rPr>
      <t xml:space="preserve">，满足 </t>
    </r>
    <r>
      <rPr>
        <sz val="10"/>
        <rFont val="Arial"/>
        <family val="0"/>
        <charset val="1"/>
      </rPr>
      <t xml:space="preserve">peer </t>
    </r>
    <r>
      <rPr>
        <sz val="10"/>
        <rFont val="Noto Sans CJK SC"/>
        <family val="2"/>
      </rPr>
      <t xml:space="preserve">与 </t>
    </r>
    <r>
      <rPr>
        <sz val="10"/>
        <rFont val="Arial"/>
        <family val="0"/>
        <charset val="1"/>
      </rPr>
      <t xml:space="preserve">industry </t>
    </r>
    <r>
      <rPr>
        <sz val="10"/>
        <rFont val="Noto Sans CJK SC"/>
        <family val="2"/>
      </rPr>
      <t xml:space="preserve">条件）；另 </t>
    </r>
    <r>
      <rPr>
        <sz val="10"/>
        <rFont val="Arial"/>
        <family val="0"/>
        <charset val="1"/>
      </rPr>
      <t xml:space="preserve">8 </t>
    </r>
    <r>
      <rPr>
        <sz val="10"/>
        <rFont val="Noto Sans CJK SC"/>
        <family val="2"/>
      </rPr>
      <t xml:space="preserve">个 </t>
    </r>
    <r>
      <rPr>
        <sz val="10"/>
        <rFont val="Arial"/>
        <family val="0"/>
        <charset val="1"/>
      </rPr>
      <t xml:space="preserve">entity </t>
    </r>
    <r>
      <rPr>
        <sz val="10"/>
        <rFont val="Noto Sans CJK SC"/>
        <family val="2"/>
      </rPr>
      <t xml:space="preserve">可能符合但未应用。</t>
    </r>
  </si>
  <si>
    <r>
      <rPr>
        <sz val="10"/>
        <rFont val="Noto Sans CJK SC"/>
        <family val="2"/>
      </rPr>
      <t xml:space="preserve">索取名单；核对 </t>
    </r>
    <r>
      <rPr>
        <sz val="10"/>
        <rFont val="Arial"/>
        <family val="0"/>
        <charset val="1"/>
      </rPr>
      <t xml:space="preserve">4 </t>
    </r>
    <r>
      <rPr>
        <sz val="10"/>
        <rFont val="Noto Sans CJK SC"/>
        <family val="2"/>
      </rPr>
      <t xml:space="preserve">个条件；核对 </t>
    </r>
    <r>
      <rPr>
        <sz val="10"/>
        <rFont val="Arial"/>
        <family val="0"/>
        <charset val="1"/>
      </rPr>
      <t xml:space="preserve">8 </t>
    </r>
    <r>
      <rPr>
        <sz val="10"/>
        <rFont val="Noto Sans CJK SC"/>
        <family val="2"/>
      </rPr>
      <t xml:space="preserve">个 </t>
    </r>
    <r>
      <rPr>
        <sz val="10"/>
        <rFont val="Arial"/>
        <family val="0"/>
        <charset val="1"/>
      </rPr>
      <t xml:space="preserve">"</t>
    </r>
    <r>
      <rPr>
        <sz val="10"/>
        <rFont val="Noto Sans CJK SC"/>
        <family val="2"/>
      </rPr>
      <t xml:space="preserve">可能符合但未应用</t>
    </r>
    <r>
      <rPr>
        <sz val="10"/>
        <rFont val="Arial"/>
        <family val="0"/>
        <charset val="1"/>
      </rPr>
      <t xml:space="preserve">" </t>
    </r>
    <r>
      <rPr>
        <sz val="10"/>
        <rFont val="Noto Sans CJK SC"/>
        <family val="2"/>
      </rPr>
      <t xml:space="preserve">的原因（一致性问题）。</t>
    </r>
  </si>
  <si>
    <r>
      <rPr>
        <sz val="10"/>
        <rFont val="Arial"/>
        <family val="0"/>
        <charset val="1"/>
      </rPr>
      <t xml:space="preserve">A.3 </t>
    </r>
    <r>
      <rPr>
        <sz val="10"/>
        <rFont val="Noto Sans CJK SC"/>
        <family val="2"/>
      </rPr>
      <t xml:space="preserve">名单；各 </t>
    </r>
    <r>
      <rPr>
        <sz val="10"/>
        <rFont val="Arial"/>
        <family val="0"/>
        <charset val="1"/>
      </rPr>
      <t xml:space="preserve">entity </t>
    </r>
    <r>
      <rPr>
        <sz val="10"/>
        <rFont val="Noto Sans CJK SC"/>
        <family val="2"/>
      </rPr>
      <t xml:space="preserve">的 </t>
    </r>
    <r>
      <rPr>
        <sz val="10"/>
        <rFont val="Arial"/>
        <family val="0"/>
        <charset val="1"/>
      </rPr>
      <t xml:space="preserve">CP</t>
    </r>
    <r>
      <rPr>
        <sz val="10"/>
        <rFont val="Noto Sans CJK SC"/>
        <family val="2"/>
      </rPr>
      <t xml:space="preserve">、</t>
    </r>
    <r>
      <rPr>
        <sz val="10"/>
        <rFont val="Arial"/>
        <family val="0"/>
        <charset val="1"/>
      </rPr>
      <t xml:space="preserve">CR</t>
    </r>
    <r>
      <rPr>
        <sz val="10"/>
        <rFont val="Noto Sans CJK SC"/>
        <family val="2"/>
      </rPr>
      <t xml:space="preserve">、</t>
    </r>
    <r>
      <rPr>
        <sz val="10"/>
        <rFont val="Arial"/>
        <family val="0"/>
        <charset val="1"/>
      </rPr>
      <t xml:space="preserve">profitability </t>
    </r>
    <r>
      <rPr>
        <sz val="10"/>
        <rFont val="Noto Sans CJK SC"/>
        <family val="2"/>
      </rPr>
      <t xml:space="preserve">评估。</t>
    </r>
  </si>
  <si>
    <r>
      <rPr>
        <sz val="10"/>
        <rFont val="Arial"/>
        <family val="0"/>
        <charset val="1"/>
      </rPr>
      <t xml:space="preserve">8 </t>
    </r>
    <r>
      <rPr>
        <sz val="10"/>
        <rFont val="Noto Sans CJK SC"/>
        <family val="2"/>
      </rPr>
      <t xml:space="preserve">个符合条件但未应用本身是现行 </t>
    </r>
    <r>
      <rPr>
        <sz val="10"/>
        <rFont val="Arial"/>
        <family val="0"/>
        <charset val="1"/>
      </rPr>
      <t xml:space="preserve">exception </t>
    </r>
    <r>
      <rPr>
        <sz val="10"/>
        <rFont val="Noto Sans CJK SC"/>
        <family val="2"/>
      </rPr>
      <t xml:space="preserve">应用不一致的证据，支持删除。</t>
    </r>
  </si>
  <si>
    <t xml:space="preserve">B</t>
  </si>
  <si>
    <r>
      <rPr>
        <sz val="10"/>
        <rFont val="Arial"/>
        <family val="0"/>
        <charset val="1"/>
      </rPr>
      <t xml:space="preserve">2 </t>
    </r>
    <r>
      <rPr>
        <sz val="10"/>
        <rFont val="Noto Sans CJK SC"/>
        <family val="2"/>
      </rPr>
      <t xml:space="preserve">个 </t>
    </r>
    <r>
      <rPr>
        <sz val="10"/>
        <rFont val="Arial"/>
        <family val="0"/>
        <charset val="1"/>
      </rPr>
      <t xml:space="preserve">entity</t>
    </r>
    <r>
      <rPr>
        <sz val="10"/>
        <rFont val="Noto Sans CJK SC"/>
        <family val="2"/>
      </rPr>
      <t xml:space="preserve">（</t>
    </r>
    <r>
      <rPr>
        <sz val="10"/>
        <rFont val="Arial"/>
        <family val="0"/>
        <charset val="1"/>
      </rPr>
      <t xml:space="preserve">Nakilat</t>
    </r>
    <r>
      <rPr>
        <sz val="10"/>
        <rFont val="Noto Sans CJK SC"/>
        <family val="2"/>
      </rPr>
      <t xml:space="preserve">、</t>
    </r>
    <r>
      <rPr>
        <sz val="10"/>
        <rFont val="Arial"/>
        <family val="0"/>
        <charset val="1"/>
      </rPr>
      <t xml:space="preserve">Qatar Gas Transport</t>
    </r>
    <r>
      <rPr>
        <sz val="10"/>
        <rFont val="Noto Sans CJK SC"/>
        <family val="2"/>
      </rPr>
      <t xml:space="preserve">）因 </t>
    </r>
    <r>
      <rPr>
        <sz val="10"/>
        <rFont val="Arial"/>
        <family val="0"/>
        <charset val="1"/>
      </rPr>
      <t xml:space="preserve">parent / government support </t>
    </r>
    <r>
      <rPr>
        <sz val="10"/>
        <rFont val="Noto Sans CJK SC"/>
        <family val="2"/>
      </rPr>
      <t xml:space="preserve">获得 </t>
    </r>
    <r>
      <rPr>
        <sz val="10"/>
        <rFont val="Arial"/>
        <family val="0"/>
        <charset val="1"/>
      </rPr>
      <t xml:space="preserve">uplift</t>
    </r>
    <r>
      <rPr>
        <sz val="10"/>
        <rFont val="Noto Sans CJK SC"/>
        <family val="2"/>
      </rPr>
      <t xml:space="preserve">，删除 </t>
    </r>
    <r>
      <rPr>
        <sz val="10"/>
        <rFont val="Arial"/>
        <family val="0"/>
        <charset val="1"/>
      </rPr>
      <t xml:space="preserve">exception </t>
    </r>
    <r>
      <rPr>
        <sz val="10"/>
        <rFont val="Noto Sans CJK SC"/>
        <family val="2"/>
      </rPr>
      <t xml:space="preserve">无 </t>
    </r>
    <r>
      <rPr>
        <sz val="10"/>
        <rFont val="Arial"/>
        <family val="0"/>
        <charset val="1"/>
      </rPr>
      <t xml:space="preserve">rating impact</t>
    </r>
    <r>
      <rPr>
        <sz val="10"/>
        <rFont val="Noto Sans CJK SC"/>
        <family val="2"/>
      </rPr>
      <t xml:space="preserve">。</t>
    </r>
  </si>
  <si>
    <r>
      <rPr>
        <sz val="10"/>
        <rFont val="Noto Sans CJK SC"/>
        <family val="2"/>
      </rPr>
      <t xml:space="preserve">核对 </t>
    </r>
    <r>
      <rPr>
        <sz val="10"/>
        <rFont val="Arial"/>
        <family val="0"/>
        <charset val="1"/>
      </rPr>
      <t xml:space="preserve">GRE / group </t>
    </r>
    <r>
      <rPr>
        <sz val="10"/>
        <rFont val="Noto Sans CJK SC"/>
        <family val="2"/>
      </rPr>
      <t xml:space="preserve">方法下的 </t>
    </r>
    <r>
      <rPr>
        <sz val="10"/>
        <rFont val="Arial"/>
        <family val="0"/>
        <charset val="1"/>
      </rPr>
      <t xml:space="preserve">support likelihood </t>
    </r>
    <r>
      <rPr>
        <sz val="10"/>
        <rFont val="Noto Sans CJK SC"/>
        <family val="2"/>
      </rPr>
      <t xml:space="preserve">与 </t>
    </r>
    <r>
      <rPr>
        <sz val="10"/>
        <rFont val="Arial"/>
        <family val="0"/>
        <charset val="1"/>
      </rPr>
      <t xml:space="preserve">ICR </t>
    </r>
    <r>
      <rPr>
        <sz val="10"/>
        <rFont val="Noto Sans CJK SC"/>
        <family val="2"/>
      </rPr>
      <t xml:space="preserve">决定方式；重算 </t>
    </r>
    <r>
      <rPr>
        <sz val="10"/>
        <rFont val="Arial"/>
        <family val="0"/>
        <charset val="1"/>
      </rPr>
      <t xml:space="preserve">BRP 2→3 </t>
    </r>
    <r>
      <rPr>
        <sz val="10"/>
        <rFont val="Noto Sans CJK SC"/>
        <family val="2"/>
      </rPr>
      <t xml:space="preserve">后的 </t>
    </r>
    <r>
      <rPr>
        <sz val="10"/>
        <rFont val="Arial"/>
        <family val="0"/>
        <charset val="1"/>
      </rPr>
      <t xml:space="preserve">anchor </t>
    </r>
    <r>
      <rPr>
        <sz val="10"/>
        <rFont val="Noto Sans CJK SC"/>
        <family val="2"/>
      </rPr>
      <t xml:space="preserve">与 </t>
    </r>
    <r>
      <rPr>
        <sz val="10"/>
        <rFont val="Arial"/>
        <family val="0"/>
        <charset val="1"/>
      </rPr>
      <t xml:space="preserve">SACP</t>
    </r>
    <r>
      <rPr>
        <sz val="10"/>
        <rFont val="Noto Sans CJK SC"/>
        <family val="2"/>
      </rPr>
      <t xml:space="preserve">；确认两者是否同一 </t>
    </r>
    <r>
      <rPr>
        <sz val="10"/>
        <rFont val="Arial"/>
        <family val="0"/>
        <charset val="1"/>
      </rPr>
      <t xml:space="preserve">group</t>
    </r>
    <r>
      <rPr>
        <sz val="10"/>
        <rFont val="Noto Sans CJK SC"/>
        <family val="2"/>
      </rPr>
      <t xml:space="preserve">。</t>
    </r>
  </si>
  <si>
    <r>
      <rPr>
        <sz val="10"/>
        <rFont val="Noto Sans CJK SC"/>
        <family val="2"/>
      </rPr>
      <t xml:space="preserve">两个 </t>
    </r>
    <r>
      <rPr>
        <sz val="10"/>
        <rFont val="Arial"/>
        <family val="0"/>
        <charset val="1"/>
      </rPr>
      <t xml:space="preserve">entity </t>
    </r>
    <r>
      <rPr>
        <sz val="10"/>
        <rFont val="Noto Sans CJK SC"/>
        <family val="2"/>
      </rPr>
      <t xml:space="preserve">的 </t>
    </r>
    <r>
      <rPr>
        <sz val="10"/>
        <rFont val="Arial"/>
        <family val="0"/>
        <charset val="1"/>
      </rPr>
      <t xml:space="preserve">GRE / group </t>
    </r>
    <r>
      <rPr>
        <sz val="10"/>
        <rFont val="Noto Sans CJK SC"/>
        <family val="2"/>
      </rPr>
      <t xml:space="preserve">评估、</t>
    </r>
    <r>
      <rPr>
        <sz val="10"/>
        <rFont val="Arial"/>
        <family val="0"/>
        <charset val="1"/>
      </rPr>
      <t xml:space="preserve">SACP</t>
    </r>
    <r>
      <rPr>
        <sz val="10"/>
        <rFont val="Noto Sans CJK SC"/>
        <family val="2"/>
      </rPr>
      <t xml:space="preserve">、</t>
    </r>
    <r>
      <rPr>
        <sz val="10"/>
        <rFont val="Arial"/>
        <family val="0"/>
        <charset val="1"/>
      </rPr>
      <t xml:space="preserve">anchor</t>
    </r>
    <r>
      <rPr>
        <sz val="10"/>
        <rFont val="Noto Sans CJK SC"/>
        <family val="2"/>
      </rPr>
      <t xml:space="preserve">。</t>
    </r>
  </si>
  <si>
    <r>
      <rPr>
        <sz val="10"/>
        <rFont val="Arial"/>
        <family val="0"/>
        <charset val="1"/>
      </rPr>
      <t xml:space="preserve">"</t>
    </r>
    <r>
      <rPr>
        <sz val="10"/>
        <rFont val="Noto Sans CJK SC"/>
        <family val="2"/>
      </rPr>
      <t xml:space="preserve">无 </t>
    </r>
    <r>
      <rPr>
        <sz val="10"/>
        <rFont val="Arial"/>
        <family val="0"/>
        <charset val="1"/>
      </rPr>
      <t xml:space="preserve">ICR impact" </t>
    </r>
    <r>
      <rPr>
        <sz val="10"/>
        <rFont val="Noto Sans CJK SC"/>
        <family val="2"/>
      </rPr>
      <t xml:space="preserve">可信度取决于 </t>
    </r>
    <r>
      <rPr>
        <sz val="10"/>
        <rFont val="Arial"/>
        <family val="0"/>
        <charset val="1"/>
      </rPr>
      <t xml:space="preserve">support likelihood</t>
    </r>
    <r>
      <rPr>
        <sz val="10"/>
        <rFont val="Noto Sans CJK SC"/>
        <family val="2"/>
      </rPr>
      <t xml:space="preserve">；</t>
    </r>
    <r>
      <rPr>
        <sz val="10"/>
        <rFont val="Arial"/>
        <family val="0"/>
        <charset val="1"/>
      </rPr>
      <t xml:space="preserve">SACP </t>
    </r>
    <r>
      <rPr>
        <sz val="10"/>
        <rFont val="Noto Sans CJK SC"/>
        <family val="2"/>
      </rPr>
      <t xml:space="preserve">变动未被说明。</t>
    </r>
  </si>
  <si>
    <t xml:space="preserve">C</t>
  </si>
  <si>
    <r>
      <rPr>
        <sz val="10"/>
        <rFont val="Arial"/>
        <family val="0"/>
        <charset val="1"/>
      </rPr>
      <t xml:space="preserve">48 </t>
    </r>
    <r>
      <rPr>
        <sz val="10"/>
        <rFont val="Noto Sans CJK SC"/>
        <family val="2"/>
      </rPr>
      <t xml:space="preserve">个 </t>
    </r>
    <r>
      <rPr>
        <sz val="10"/>
        <rFont val="Arial"/>
        <family val="0"/>
        <charset val="1"/>
      </rPr>
      <t xml:space="preserve">entity CICRA 4 </t>
    </r>
    <r>
      <rPr>
        <sz val="10"/>
        <rFont val="Noto Sans CJK SC"/>
        <family val="2"/>
      </rPr>
      <t xml:space="preserve">且 </t>
    </r>
    <r>
      <rPr>
        <sz val="10"/>
        <rFont val="Arial"/>
        <family val="0"/>
        <charset val="1"/>
      </rPr>
      <t xml:space="preserve">Excellent CP</t>
    </r>
    <r>
      <rPr>
        <sz val="10"/>
        <rFont val="Noto Sans CJK SC"/>
        <family val="2"/>
      </rPr>
      <t xml:space="preserve">；</t>
    </r>
    <r>
      <rPr>
        <sz val="10"/>
        <rFont val="Arial"/>
        <family val="0"/>
        <charset val="1"/>
      </rPr>
      <t xml:space="preserve">CR ≤2 </t>
    </r>
    <r>
      <rPr>
        <sz val="10"/>
        <rFont val="Noto Sans CJK SC"/>
        <family val="2"/>
      </rPr>
      <t xml:space="preserve">的 </t>
    </r>
    <r>
      <rPr>
        <sz val="10"/>
        <rFont val="Arial"/>
        <family val="0"/>
        <charset val="1"/>
      </rPr>
      <t xml:space="preserve">19 </t>
    </r>
    <r>
      <rPr>
        <sz val="10"/>
        <rFont val="Noto Sans CJK SC"/>
        <family val="2"/>
      </rPr>
      <t xml:space="preserve">个，</t>
    </r>
    <r>
      <rPr>
        <sz val="10"/>
        <rFont val="Arial"/>
        <family val="0"/>
        <charset val="1"/>
      </rPr>
      <t xml:space="preserve">CR ≤3 </t>
    </r>
    <r>
      <rPr>
        <sz val="10"/>
        <rFont val="Noto Sans CJK SC"/>
        <family val="2"/>
      </rPr>
      <t xml:space="preserve">的 </t>
    </r>
    <r>
      <rPr>
        <sz val="10"/>
        <rFont val="Arial"/>
        <family val="0"/>
        <charset val="1"/>
      </rPr>
      <t xml:space="preserve">33 </t>
    </r>
    <r>
      <rPr>
        <sz val="10"/>
        <rFont val="Noto Sans CJK SC"/>
        <family val="2"/>
      </rPr>
      <t xml:space="preserve">个；</t>
    </r>
    <r>
      <rPr>
        <sz val="10"/>
        <rFont val="Arial"/>
        <family val="0"/>
        <charset val="1"/>
      </rPr>
      <t xml:space="preserve">7 </t>
    </r>
    <r>
      <rPr>
        <sz val="10"/>
        <rFont val="Noto Sans CJK SC"/>
        <family val="2"/>
      </rPr>
      <t xml:space="preserve">个 </t>
    </r>
    <r>
      <rPr>
        <sz val="10"/>
        <rFont val="Arial"/>
        <family val="0"/>
        <charset val="1"/>
      </rPr>
      <t xml:space="preserve">sector</t>
    </r>
    <r>
      <rPr>
        <sz val="10"/>
        <rFont val="Noto Sans CJK SC"/>
        <family val="2"/>
      </rPr>
      <t xml:space="preserve">；若扩展 </t>
    </r>
    <r>
      <rPr>
        <sz val="10"/>
        <rFont val="Arial"/>
        <family val="0"/>
        <charset val="1"/>
      </rPr>
      <t xml:space="preserve">exception </t>
    </r>
    <r>
      <rPr>
        <sz val="10"/>
        <rFont val="Noto Sans CJK SC"/>
        <family val="2"/>
      </rPr>
      <t xml:space="preserve">到 </t>
    </r>
    <r>
      <rPr>
        <sz val="10"/>
        <rFont val="Arial"/>
        <family val="0"/>
        <charset val="1"/>
      </rPr>
      <t xml:space="preserve">CICRA 4</t>
    </r>
    <r>
      <rPr>
        <sz val="10"/>
        <rFont val="Noto Sans CJK SC"/>
        <family val="2"/>
      </rPr>
      <t xml:space="preserve">，</t>
    </r>
    <r>
      <rPr>
        <sz val="10"/>
        <rFont val="Arial"/>
        <family val="0"/>
        <charset val="1"/>
      </rPr>
      <t xml:space="preserve">19 </t>
    </r>
    <r>
      <rPr>
        <sz val="10"/>
        <rFont val="Noto Sans CJK SC"/>
        <family val="2"/>
      </rPr>
      <t xml:space="preserve">个 </t>
    </r>
    <r>
      <rPr>
        <sz val="10"/>
        <rFont val="Arial"/>
        <family val="0"/>
        <charset val="1"/>
      </rPr>
      <t xml:space="preserve">entity </t>
    </r>
    <r>
      <rPr>
        <sz val="10"/>
        <rFont val="Noto Sans CJK SC"/>
        <family val="2"/>
      </rPr>
      <t xml:space="preserve">立即上调 </t>
    </r>
    <r>
      <rPr>
        <sz val="10"/>
        <rFont val="Arial"/>
        <family val="0"/>
        <charset val="1"/>
      </rPr>
      <t xml:space="preserve">1–3 notch</t>
    </r>
    <r>
      <rPr>
        <sz val="10"/>
        <rFont val="Noto Sans CJK SC"/>
        <family val="2"/>
      </rPr>
      <t xml:space="preserve">；</t>
    </r>
    <r>
      <rPr>
        <sz val="10"/>
        <rFont val="Arial"/>
        <family val="0"/>
        <charset val="1"/>
      </rPr>
      <t xml:space="preserve">18 </t>
    </r>
    <r>
      <rPr>
        <sz val="10"/>
        <rFont val="Noto Sans CJK SC"/>
        <family val="2"/>
      </rPr>
      <t xml:space="preserve">个已是 </t>
    </r>
    <r>
      <rPr>
        <sz val="10"/>
        <rFont val="Arial"/>
        <family val="0"/>
        <charset val="1"/>
      </rPr>
      <t xml:space="preserve">IG </t>
    </r>
    <r>
      <rPr>
        <sz val="10"/>
        <rFont val="Noto Sans CJK SC"/>
        <family val="2"/>
      </rPr>
      <t xml:space="preserve">高知名度公司。</t>
    </r>
  </si>
  <si>
    <r>
      <rPr>
        <sz val="10"/>
        <rFont val="Noto Sans CJK SC"/>
        <family val="2"/>
      </rPr>
      <t xml:space="preserve">这是被否决的 </t>
    </r>
    <r>
      <rPr>
        <sz val="10"/>
        <rFont val="Arial"/>
        <family val="0"/>
        <charset val="1"/>
      </rPr>
      <t xml:space="preserve">alternative</t>
    </r>
    <r>
      <rPr>
        <sz val="10"/>
        <rFont val="Noto Sans CJK SC"/>
        <family val="2"/>
      </rPr>
      <t xml:space="preserve">，</t>
    </r>
    <r>
      <rPr>
        <sz val="10"/>
        <rFont val="Arial"/>
        <family val="0"/>
        <charset val="1"/>
      </rPr>
      <t xml:space="preserve">AQV </t>
    </r>
    <r>
      <rPr>
        <sz val="10"/>
        <rFont val="Noto Sans CJK SC"/>
        <family val="2"/>
      </rPr>
      <t xml:space="preserve">只需记录其被考虑与否决的理由；用 </t>
    </r>
    <r>
      <rPr>
        <sz val="10"/>
        <rFont val="Arial"/>
        <family val="0"/>
        <charset val="1"/>
      </rPr>
      <t xml:space="preserve">Table 2 / Table 3 </t>
    </r>
    <r>
      <rPr>
        <sz val="10"/>
        <rFont val="Noto Sans CJK SC"/>
        <family val="2"/>
      </rPr>
      <t xml:space="preserve">复核 </t>
    </r>
    <r>
      <rPr>
        <sz val="10"/>
        <rFont val="Arial"/>
        <family val="0"/>
        <charset val="1"/>
      </rPr>
      <t xml:space="preserve">1–3 notch </t>
    </r>
    <r>
      <rPr>
        <sz val="10"/>
        <rFont val="Noto Sans CJK SC"/>
        <family val="2"/>
      </rPr>
      <t xml:space="preserve">的量级（</t>
    </r>
    <r>
      <rPr>
        <sz val="10"/>
        <rFont val="Arial"/>
        <family val="0"/>
        <charset val="1"/>
      </rPr>
      <t xml:space="preserve">CICRA 4</t>
    </r>
    <r>
      <rPr>
        <sz val="10"/>
        <rFont val="Noto Sans CJK SC"/>
        <family val="2"/>
      </rPr>
      <t xml:space="preserve">、</t>
    </r>
    <r>
      <rPr>
        <sz val="10"/>
        <rFont val="Arial"/>
        <family val="0"/>
        <charset val="1"/>
      </rPr>
      <t xml:space="preserve">CP 1</t>
    </r>
    <r>
      <rPr>
        <sz val="10"/>
        <rFont val="Noto Sans CJK SC"/>
        <family val="2"/>
      </rPr>
      <t xml:space="preserve">：</t>
    </r>
    <r>
      <rPr>
        <sz val="10"/>
        <rFont val="Arial"/>
        <family val="0"/>
        <charset val="1"/>
      </rPr>
      <t xml:space="preserve">BRP 2→1</t>
    </r>
    <r>
      <rPr>
        <sz val="10"/>
        <rFont val="Noto Sans CJK SC"/>
        <family val="2"/>
      </rPr>
      <t xml:space="preserve">）。</t>
    </r>
  </si>
  <si>
    <t xml:space="preserve">无需名单。</t>
  </si>
  <si>
    <r>
      <rPr>
        <sz val="10"/>
        <rFont val="Noto Sans CJK SC"/>
        <family val="2"/>
      </rPr>
      <t xml:space="preserve">否决理由（</t>
    </r>
    <r>
      <rPr>
        <sz val="10"/>
        <rFont val="Arial"/>
        <family val="0"/>
        <charset val="1"/>
      </rPr>
      <t xml:space="preserve">impact</t>
    </r>
    <r>
      <rPr>
        <sz val="10"/>
        <rFont val="Noto Sans CJK SC"/>
        <family val="2"/>
      </rPr>
      <t xml:space="preserve">、</t>
    </r>
    <r>
      <rPr>
        <sz val="10"/>
        <rFont val="Arial"/>
        <family val="0"/>
        <charset val="1"/>
      </rPr>
      <t xml:space="preserve">simplicity</t>
    </r>
    <r>
      <rPr>
        <sz val="10"/>
        <rFont val="Noto Sans CJK SC"/>
        <family val="2"/>
      </rPr>
      <t xml:space="preserve">、</t>
    </r>
    <r>
      <rPr>
        <sz val="10"/>
        <rFont val="Arial"/>
        <family val="0"/>
        <charset val="1"/>
      </rPr>
      <t xml:space="preserve">analytical need</t>
    </r>
    <r>
      <rPr>
        <sz val="10"/>
        <rFont val="Noto Sans CJK SC"/>
        <family val="2"/>
      </rPr>
      <t xml:space="preserve">）合理。</t>
    </r>
  </si>
  <si>
    <t xml:space="preserve">D</t>
  </si>
  <si>
    <r>
      <rPr>
        <sz val="10"/>
        <rFont val="Arial"/>
        <family val="0"/>
        <charset val="1"/>
      </rPr>
      <t xml:space="preserve">paras 48–51 diversity adjustment </t>
    </r>
    <r>
      <rPr>
        <sz val="10"/>
        <rFont val="Noto Sans CJK SC"/>
        <family val="2"/>
      </rPr>
      <t xml:space="preserve">使用 </t>
    </r>
    <r>
      <rPr>
        <sz val="10"/>
        <rFont val="Arial"/>
        <family val="0"/>
        <charset val="1"/>
      </rPr>
      <t xml:space="preserve">9 </t>
    </r>
    <r>
      <rPr>
        <sz val="10"/>
        <rFont val="Noto Sans CJK SC"/>
        <family val="2"/>
      </rPr>
      <t xml:space="preserve">个 </t>
    </r>
    <r>
      <rPr>
        <sz val="10"/>
        <rFont val="Arial"/>
        <family val="0"/>
        <charset val="1"/>
      </rPr>
      <t xml:space="preserve">entity</t>
    </r>
    <r>
      <rPr>
        <sz val="10"/>
        <rFont val="Noto Sans CJK SC"/>
        <family val="2"/>
      </rPr>
      <t xml:space="preserve">；</t>
    </r>
    <r>
      <rPr>
        <sz val="10"/>
        <rFont val="Arial"/>
        <family val="0"/>
        <charset val="1"/>
      </rPr>
      <t xml:space="preserve">2 </t>
    </r>
    <r>
      <rPr>
        <sz val="10"/>
        <rFont val="Noto Sans CJK SC"/>
        <family val="2"/>
      </rPr>
      <t xml:space="preserve">个影响 </t>
    </r>
    <r>
      <rPr>
        <sz val="10"/>
        <rFont val="Arial"/>
        <family val="0"/>
        <charset val="1"/>
      </rPr>
      <t xml:space="preserve">CICRA</t>
    </r>
    <r>
      <rPr>
        <sz val="10"/>
        <rFont val="Noto Sans CJK SC"/>
        <family val="2"/>
      </rPr>
      <t xml:space="preserve">；</t>
    </r>
    <r>
      <rPr>
        <sz val="10"/>
        <rFont val="Arial"/>
        <family val="0"/>
        <charset val="1"/>
      </rPr>
      <t xml:space="preserve">0 </t>
    </r>
    <r>
      <rPr>
        <sz val="10"/>
        <rFont val="Noto Sans CJK SC"/>
        <family val="2"/>
      </rPr>
      <t xml:space="preserve">个影响 </t>
    </r>
    <r>
      <rPr>
        <sz val="10"/>
        <rFont val="Arial"/>
        <family val="0"/>
        <charset val="1"/>
      </rPr>
      <t xml:space="preserve">BRP </t>
    </r>
    <r>
      <rPr>
        <sz val="10"/>
        <rFont val="Noto Sans CJK SC"/>
        <family val="2"/>
      </rPr>
      <t xml:space="preserve">或 </t>
    </r>
    <r>
      <rPr>
        <sz val="10"/>
        <rFont val="Arial"/>
        <family val="0"/>
        <charset val="1"/>
      </rPr>
      <t xml:space="preserve">rating</t>
    </r>
    <r>
      <rPr>
        <sz val="10"/>
        <rFont val="Noto Sans CJK SC"/>
        <family val="2"/>
      </rPr>
      <t xml:space="preserve">。</t>
    </r>
  </si>
  <si>
    <t xml:space="preserve">Slide 4</t>
  </si>
  <si>
    <r>
      <rPr>
        <sz val="10"/>
        <rFont val="Noto Sans CJK SC"/>
        <family val="2"/>
      </rPr>
      <t xml:space="preserve">索取名单；重算 </t>
    </r>
    <r>
      <rPr>
        <sz val="10"/>
        <rFont val="Arial"/>
        <family val="0"/>
        <charset val="1"/>
      </rPr>
      <t xml:space="preserve">preliminary vs adjusted CR</t>
    </r>
    <r>
      <rPr>
        <sz val="10"/>
        <rFont val="Noto Sans CJK SC"/>
        <family val="2"/>
      </rPr>
      <t xml:space="preserve">；用 </t>
    </r>
    <r>
      <rPr>
        <sz val="10"/>
        <rFont val="Arial"/>
        <family val="0"/>
        <charset val="1"/>
      </rPr>
      <t xml:space="preserve">Table 2 </t>
    </r>
    <r>
      <rPr>
        <sz val="10"/>
        <rFont val="Noto Sans CJK SC"/>
        <family val="2"/>
      </rPr>
      <t xml:space="preserve">核对 </t>
    </r>
    <r>
      <rPr>
        <sz val="10"/>
        <rFont val="Arial"/>
        <family val="0"/>
        <charset val="1"/>
      </rPr>
      <t xml:space="preserve">CICRA </t>
    </r>
    <r>
      <rPr>
        <sz val="10"/>
        <rFont val="Noto Sans CJK SC"/>
        <family val="2"/>
      </rPr>
      <t xml:space="preserve">变而 </t>
    </r>
    <r>
      <rPr>
        <sz val="10"/>
        <rFont val="Arial"/>
        <family val="0"/>
        <charset val="1"/>
      </rPr>
      <t xml:space="preserve">BRP </t>
    </r>
    <r>
      <rPr>
        <sz val="10"/>
        <rFont val="Noto Sans CJK SC"/>
        <family val="2"/>
      </rPr>
      <t xml:space="preserve">不变的原因。</t>
    </r>
  </si>
  <si>
    <r>
      <rPr>
        <sz val="10"/>
        <rFont val="Arial"/>
        <family val="0"/>
        <charset val="1"/>
      </rPr>
      <t xml:space="preserve">A.3 </t>
    </r>
    <r>
      <rPr>
        <sz val="10"/>
        <rFont val="Noto Sans CJK SC"/>
        <family val="2"/>
      </rPr>
      <t xml:space="preserve">名单；</t>
    </r>
    <r>
      <rPr>
        <sz val="10"/>
        <rFont val="Arial"/>
        <family val="0"/>
        <charset val="1"/>
      </rPr>
      <t xml:space="preserve">9 </t>
    </r>
    <r>
      <rPr>
        <sz val="10"/>
        <rFont val="Noto Sans CJK SC"/>
        <family val="2"/>
      </rPr>
      <t xml:space="preserve">个 </t>
    </r>
    <r>
      <rPr>
        <sz val="10"/>
        <rFont val="Arial"/>
        <family val="0"/>
        <charset val="1"/>
      </rPr>
      <t xml:space="preserve">entity </t>
    </r>
    <r>
      <rPr>
        <sz val="10"/>
        <rFont val="Noto Sans CJK SC"/>
        <family val="2"/>
      </rPr>
      <t xml:space="preserve">的 </t>
    </r>
    <r>
      <rPr>
        <sz val="10"/>
        <rFont val="Arial"/>
        <family val="0"/>
        <charset val="1"/>
      </rPr>
      <t xml:space="preserve">CR </t>
    </r>
    <r>
      <rPr>
        <sz val="10"/>
        <rFont val="Noto Sans CJK SC"/>
        <family val="2"/>
      </rPr>
      <t xml:space="preserve">计算底稿。</t>
    </r>
  </si>
  <si>
    <r>
      <rPr>
        <sz val="10"/>
        <rFont val="Arial"/>
        <family val="0"/>
        <charset val="1"/>
      </rPr>
      <t xml:space="preserve">9 / 4,900 </t>
    </r>
    <r>
      <rPr>
        <sz val="10"/>
        <rFont val="Noto Sans CJK SC"/>
        <family val="2"/>
      </rPr>
      <t xml:space="preserve">的 </t>
    </r>
    <r>
      <rPr>
        <sz val="10"/>
        <rFont val="Arial"/>
        <family val="0"/>
        <charset val="1"/>
      </rPr>
      <t xml:space="preserve">usage </t>
    </r>
    <r>
      <rPr>
        <sz val="10"/>
        <rFont val="Noto Sans CJK SC"/>
        <family val="2"/>
      </rPr>
      <t xml:space="preserve">支持 </t>
    </r>
    <r>
      <rPr>
        <sz val="10"/>
        <rFont val="Arial"/>
        <family val="0"/>
        <charset val="1"/>
      </rPr>
      <t xml:space="preserve">simplification rationale</t>
    </r>
    <r>
      <rPr>
        <sz val="10"/>
        <rFont val="Noto Sans CJK SC"/>
        <family val="2"/>
      </rPr>
      <t xml:space="preserve">。</t>
    </r>
  </si>
  <si>
    <t xml:space="preserve">E</t>
  </si>
  <si>
    <r>
      <rPr>
        <sz val="10"/>
        <rFont val="Arial"/>
        <family val="0"/>
        <charset val="1"/>
      </rPr>
      <t xml:space="preserve">1a / 1b</t>
    </r>
    <r>
      <rPr>
        <sz val="10"/>
        <rFont val="Noto Sans CJK SC"/>
        <family val="2"/>
      </rPr>
      <t xml:space="preserve">（</t>
    </r>
    <r>
      <rPr>
        <sz val="10"/>
        <rFont val="Arial"/>
        <family val="0"/>
        <charset val="1"/>
      </rPr>
      <t xml:space="preserve">threshold</t>
    </r>
    <r>
      <rPr>
        <sz val="10"/>
        <rFont val="Noto Sans CJK SC"/>
        <family val="2"/>
      </rPr>
      <t xml:space="preserve">、</t>
    </r>
    <r>
      <rPr>
        <sz val="10"/>
        <rFont val="Arial"/>
        <family val="0"/>
        <charset val="1"/>
      </rPr>
      <t xml:space="preserve">rounding</t>
    </r>
    <r>
      <rPr>
        <sz val="10"/>
        <rFont val="Noto Sans CJK SC"/>
        <family val="2"/>
      </rPr>
      <t xml:space="preserve">、</t>
    </r>
    <r>
      <rPr>
        <sz val="10"/>
        <rFont val="Arial"/>
        <family val="0"/>
        <charset val="1"/>
      </rPr>
      <t xml:space="preserve">notching</t>
    </r>
    <r>
      <rPr>
        <sz val="10"/>
        <rFont val="Noto Sans CJK SC"/>
        <family val="2"/>
      </rPr>
      <t xml:space="preserve">）的 </t>
    </r>
    <r>
      <rPr>
        <sz val="10"/>
        <rFont val="Arial"/>
        <family val="0"/>
        <charset val="1"/>
      </rPr>
      <t xml:space="preserve">rating impact</t>
    </r>
    <r>
      <rPr>
        <sz val="10"/>
        <rFont val="Noto Sans CJK SC"/>
        <family val="2"/>
      </rPr>
      <t xml:space="preserve">：</t>
    </r>
    <r>
      <rPr>
        <sz val="10"/>
        <rFont val="Arial"/>
        <family val="0"/>
        <charset val="1"/>
      </rPr>
      <t xml:space="preserve">NONE</t>
    </r>
    <r>
      <rPr>
        <sz val="10"/>
        <rFont val="Noto Sans CJK SC"/>
        <family val="2"/>
      </rPr>
      <t xml:space="preserve">。</t>
    </r>
  </si>
  <si>
    <r>
      <rPr>
        <sz val="10"/>
        <rFont val="Noto Sans CJK SC"/>
        <family val="2"/>
      </rPr>
      <t xml:space="preserve">等 </t>
    </r>
    <r>
      <rPr>
        <sz val="10"/>
        <rFont val="Arial"/>
        <family val="0"/>
        <charset val="1"/>
      </rPr>
      <t xml:space="preserve">testing </t>
    </r>
    <r>
      <rPr>
        <sz val="10"/>
        <rFont val="Noto Sans CJK SC"/>
        <family val="2"/>
      </rPr>
      <t xml:space="preserve">输出；统计 </t>
    </r>
    <r>
      <rPr>
        <sz val="10"/>
        <rFont val="Arial"/>
        <family val="0"/>
        <charset val="1"/>
      </rPr>
      <t xml:space="preserve">weighted average </t>
    </r>
    <r>
      <rPr>
        <sz val="10"/>
        <rFont val="Noto Sans CJK SC"/>
        <family val="2"/>
      </rPr>
      <t xml:space="preserve">变动数、</t>
    </r>
    <r>
      <rPr>
        <sz val="10"/>
        <rFont val="Arial"/>
        <family val="0"/>
        <charset val="1"/>
      </rPr>
      <t xml:space="preserve">integer CR </t>
    </r>
    <r>
      <rPr>
        <sz val="10"/>
        <rFont val="Noto Sans CJK SC"/>
        <family val="2"/>
      </rPr>
      <t xml:space="preserve">变动数、</t>
    </r>
    <r>
      <rPr>
        <sz val="10"/>
        <rFont val="Arial"/>
        <family val="0"/>
        <charset val="1"/>
      </rPr>
      <t xml:space="preserve">CICRA / BRP / anchor </t>
    </r>
    <r>
      <rPr>
        <sz val="10"/>
        <rFont val="Noto Sans CJK SC"/>
        <family val="2"/>
      </rPr>
      <t xml:space="preserve">变动数；抽 </t>
    </r>
    <r>
      <rPr>
        <sz val="10"/>
        <rFont val="Arial"/>
        <family val="0"/>
        <charset val="1"/>
      </rPr>
      <t xml:space="preserve">5–10 </t>
    </r>
    <r>
      <rPr>
        <sz val="10"/>
        <rFont val="Noto Sans CJK SC"/>
        <family val="2"/>
      </rPr>
      <t xml:space="preserve">个 </t>
    </r>
    <r>
      <rPr>
        <sz val="10"/>
        <rFont val="Arial"/>
        <family val="0"/>
        <charset val="1"/>
      </rPr>
      <t xml:space="preserve">entity </t>
    </r>
    <r>
      <rPr>
        <sz val="10"/>
        <rFont val="Noto Sans CJK SC"/>
        <family val="2"/>
      </rPr>
      <t xml:space="preserve">用公开 </t>
    </r>
    <r>
      <rPr>
        <sz val="10"/>
        <rFont val="Arial"/>
        <family val="0"/>
        <charset val="1"/>
      </rPr>
      <t xml:space="preserve">segment data </t>
    </r>
    <r>
      <rPr>
        <sz val="10"/>
        <rFont val="Noto Sans CJK SC"/>
        <family val="2"/>
      </rPr>
      <t xml:space="preserve">重算。</t>
    </r>
  </si>
  <si>
    <r>
      <rPr>
        <sz val="10"/>
        <rFont val="Arial"/>
        <family val="0"/>
        <charset val="1"/>
      </rPr>
      <t xml:space="preserve">A.4 testing </t>
    </r>
    <r>
      <rPr>
        <sz val="10"/>
        <rFont val="Noto Sans CJK SC"/>
        <family val="2"/>
      </rPr>
      <t xml:space="preserve">输出；</t>
    </r>
    <r>
      <rPr>
        <sz val="10"/>
        <rFont val="Arial"/>
        <family val="0"/>
        <charset val="1"/>
      </rPr>
      <t xml:space="preserve">A.5 CCST </t>
    </r>
    <r>
      <rPr>
        <sz val="10"/>
        <rFont val="Noto Sans CJK SC"/>
        <family val="2"/>
      </rPr>
      <t xml:space="preserve">规则。</t>
    </r>
  </si>
  <si>
    <r>
      <rPr>
        <sz val="10"/>
        <rFont val="Noto Sans CJK SC"/>
        <family val="2"/>
      </rPr>
      <t xml:space="preserve">理论上 </t>
    </r>
    <r>
      <rPr>
        <sz val="10"/>
        <rFont val="Arial"/>
        <family val="0"/>
        <charset val="1"/>
      </rPr>
      <t xml:space="preserve">impact </t>
    </r>
    <r>
      <rPr>
        <sz val="10"/>
        <rFont val="Noto Sans CJK SC"/>
        <family val="2"/>
      </rPr>
      <t xml:space="preserve">极低（见 </t>
    </r>
    <r>
      <rPr>
        <sz val="10"/>
        <rFont val="Arial"/>
        <family val="0"/>
        <charset val="1"/>
      </rPr>
      <t xml:space="preserve">6_Scenarios S1</t>
    </r>
    <r>
      <rPr>
        <sz val="10"/>
        <rFont val="Noto Sans CJK SC"/>
        <family val="2"/>
      </rPr>
      <t xml:space="preserve">），但尚无证据。</t>
    </r>
  </si>
  <si>
    <t xml:space="preserve">F</t>
  </si>
  <si>
    <r>
      <rPr>
        <sz val="10"/>
        <rFont val="Noto Sans CJK SC"/>
        <family val="2"/>
      </rPr>
      <t xml:space="preserve">多数意见认为 </t>
    </r>
    <r>
      <rPr>
        <sz val="10"/>
        <rFont val="Arial"/>
        <family val="0"/>
        <charset val="1"/>
      </rPr>
      <t xml:space="preserve">+1 adjustment </t>
    </r>
    <r>
      <rPr>
        <sz val="10"/>
        <rFont val="Noto Sans CJK SC"/>
        <family val="2"/>
      </rPr>
      <t xml:space="preserve">与 </t>
    </r>
    <r>
      <rPr>
        <sz val="10"/>
        <rFont val="Arial"/>
        <family val="0"/>
        <charset val="1"/>
      </rPr>
      <t xml:space="preserve">S/S/D double counting</t>
    </r>
    <r>
      <rPr>
        <sz val="10"/>
        <rFont val="Noto Sans CJK SC"/>
        <family val="2"/>
      </rPr>
      <t xml:space="preserve">。</t>
    </r>
  </si>
  <si>
    <r>
      <rPr>
        <sz val="10"/>
        <rFont val="Noto Sans CJK SC"/>
        <family val="2"/>
      </rPr>
      <t xml:space="preserve">概念评估（题 </t>
    </r>
    <r>
      <rPr>
        <sz val="10"/>
        <rFont val="Arial"/>
        <family val="0"/>
        <charset val="1"/>
      </rPr>
      <t xml:space="preserve">2</t>
    </r>
    <r>
      <rPr>
        <sz val="10"/>
        <rFont val="Noto Sans CJK SC"/>
        <family val="2"/>
      </rPr>
      <t xml:space="preserve">）；核对 </t>
    </r>
    <r>
      <rPr>
        <sz val="10"/>
        <rFont val="Arial"/>
        <family val="0"/>
        <charset val="1"/>
      </rPr>
      <t xml:space="preserve">S/S/D </t>
    </r>
    <r>
      <rPr>
        <sz val="10"/>
        <rFont val="Noto Sans CJK SC"/>
        <family val="2"/>
      </rPr>
      <t xml:space="preserve">的 </t>
    </r>
    <r>
      <rPr>
        <sz val="10"/>
        <rFont val="Arial"/>
        <family val="0"/>
        <charset val="1"/>
      </rPr>
      <t xml:space="preserve">draft </t>
    </r>
    <r>
      <rPr>
        <sz val="10"/>
        <rFont val="Noto Sans CJK SC"/>
        <family val="2"/>
      </rPr>
      <t xml:space="preserve">措辞是否覆盖 </t>
    </r>
    <r>
      <rPr>
        <sz val="10"/>
        <rFont val="Arial"/>
        <family val="0"/>
        <charset val="1"/>
      </rPr>
      <t xml:space="preserve">country risk level </t>
    </r>
    <r>
      <rPr>
        <sz val="10"/>
        <rFont val="Noto Sans CJK SC"/>
        <family val="2"/>
      </rPr>
      <t xml:space="preserve">的分散。</t>
    </r>
  </si>
  <si>
    <r>
      <rPr>
        <sz val="10"/>
        <rFont val="Arial"/>
        <family val="0"/>
        <charset val="1"/>
      </rPr>
      <t xml:space="preserve">Draft</t>
    </r>
    <r>
      <rPr>
        <sz val="10"/>
        <rFont val="Noto Sans CJK SC"/>
        <family val="2"/>
      </rPr>
      <t xml:space="preserve">；</t>
    </r>
    <r>
      <rPr>
        <sz val="10"/>
        <rFont val="Arial"/>
        <family val="0"/>
        <charset val="1"/>
      </rPr>
      <t xml:space="preserve">#8 / #11 </t>
    </r>
    <r>
      <rPr>
        <sz val="10"/>
        <rFont val="Noto Sans CJK SC"/>
        <family val="2"/>
      </rPr>
      <t xml:space="preserve">的定稿。</t>
    </r>
  </si>
  <si>
    <r>
      <rPr>
        <sz val="10"/>
        <rFont val="Noto Sans CJK SC"/>
        <family val="2"/>
      </rPr>
      <t xml:space="preserve">论证需补强（见 </t>
    </r>
    <r>
      <rPr>
        <sz val="10"/>
        <rFont val="Arial"/>
        <family val="0"/>
        <charset val="1"/>
      </rPr>
      <t xml:space="preserve">9_Wording #11</t>
    </r>
    <r>
      <rPr>
        <sz val="10"/>
        <rFont val="Noto Sans CJK SC"/>
        <family val="2"/>
      </rPr>
      <t xml:space="preserve">）。</t>
    </r>
  </si>
  <si>
    <t xml:space="preserve">G</t>
  </si>
  <si>
    <r>
      <rPr>
        <sz val="10"/>
        <rFont val="Arial"/>
        <family val="0"/>
        <charset val="1"/>
      </rPr>
      <t xml:space="preserve">"Weak link is too complex, supply-chain country missing from the blending options"</t>
    </r>
    <r>
      <rPr>
        <sz val="10"/>
        <rFont val="Noto Sans CJK SC"/>
        <family val="2"/>
      </rPr>
      <t xml:space="preserve">。</t>
    </r>
  </si>
  <si>
    <t xml:space="preserve">Slide 1</t>
  </si>
  <si>
    <r>
      <rPr>
        <sz val="10"/>
        <rFont val="Noto Sans CJK SC"/>
        <family val="2"/>
      </rPr>
      <t xml:space="preserve">核对 </t>
    </r>
    <r>
      <rPr>
        <sz val="10"/>
        <rFont val="Arial"/>
        <family val="0"/>
        <charset val="1"/>
      </rPr>
      <t xml:space="preserve">para 44 </t>
    </r>
    <r>
      <rPr>
        <sz val="10"/>
        <rFont val="Noto Sans CJK SC"/>
        <family val="2"/>
      </rPr>
      <t xml:space="preserve">已含供应商情形；确认 </t>
    </r>
    <r>
      <rPr>
        <sz val="10"/>
        <rFont val="Arial"/>
        <family val="0"/>
        <charset val="1"/>
      </rPr>
      <t xml:space="preserve">squad </t>
    </r>
    <r>
      <rPr>
        <sz val="10"/>
        <rFont val="Noto Sans CJK SC"/>
        <family val="2"/>
      </rPr>
      <t xml:space="preserve">指的是 </t>
    </r>
    <r>
      <rPr>
        <sz val="10"/>
        <rFont val="Arial"/>
        <family val="0"/>
        <charset val="1"/>
      </rPr>
      <t xml:space="preserve">CCST blending </t>
    </r>
    <r>
      <rPr>
        <sz val="10"/>
        <rFont val="Noto Sans CJK SC"/>
        <family val="2"/>
      </rPr>
      <t xml:space="preserve">输入不含供应商所在地。</t>
    </r>
  </si>
  <si>
    <r>
      <rPr>
        <sz val="10"/>
        <rFont val="Arial"/>
        <family val="0"/>
        <charset val="1"/>
      </rPr>
      <t xml:space="preserve">Squad </t>
    </r>
    <r>
      <rPr>
        <sz val="10"/>
        <rFont val="Noto Sans CJK SC"/>
        <family val="2"/>
      </rPr>
      <t xml:space="preserve">澄清。</t>
    </r>
  </si>
  <si>
    <r>
      <rPr>
        <sz val="10"/>
        <rFont val="Noto Sans CJK SC"/>
        <family val="2"/>
      </rPr>
      <t xml:space="preserve">表述与 </t>
    </r>
    <r>
      <rPr>
        <sz val="10"/>
        <rFont val="Arial"/>
        <family val="0"/>
        <charset val="1"/>
      </rPr>
      <t xml:space="preserve">para 44 </t>
    </r>
    <r>
      <rPr>
        <sz val="10"/>
        <rFont val="Noto Sans CJK SC"/>
        <family val="2"/>
      </rPr>
      <t xml:space="preserve">不符（见 </t>
    </r>
    <r>
      <rPr>
        <sz val="10"/>
        <rFont val="Arial"/>
        <family val="0"/>
        <charset val="1"/>
      </rPr>
      <t xml:space="preserve">9_Wording #13</t>
    </r>
    <r>
      <rPr>
        <sz val="10"/>
        <rFont val="Noto Sans CJK SC"/>
        <family val="2"/>
      </rPr>
      <t xml:space="preserve">）。</t>
    </r>
  </si>
  <si>
    <t xml:space="preserve">待澄清</t>
  </si>
  <si>
    <t xml:space="preserve">H</t>
  </si>
  <si>
    <r>
      <rPr>
        <sz val="10"/>
        <rFont val="Arial"/>
        <family val="0"/>
        <charset val="1"/>
      </rPr>
      <t xml:space="preserve">Testing</t>
    </r>
    <r>
      <rPr>
        <sz val="10"/>
        <rFont val="Noto Sans CJK SC"/>
        <family val="2"/>
      </rPr>
      <t xml:space="preserve">：</t>
    </r>
    <r>
      <rPr>
        <sz val="10"/>
        <rFont val="Arial"/>
        <family val="0"/>
        <charset val="1"/>
      </rPr>
      <t xml:space="preserve">~500-entity </t>
    </r>
    <r>
      <rPr>
        <sz val="10"/>
        <rFont val="Noto Sans CJK SC"/>
        <family val="2"/>
      </rPr>
      <t xml:space="preserve">样本，</t>
    </r>
    <r>
      <rPr>
        <sz val="10"/>
        <rFont val="Arial"/>
        <family val="0"/>
        <charset val="1"/>
      </rPr>
      <t xml:space="preserve">CCST for testing</t>
    </r>
    <r>
      <rPr>
        <sz val="10"/>
        <rFont val="Noto Sans CJK SC"/>
        <family val="2"/>
      </rPr>
      <t xml:space="preserve">，</t>
    </r>
    <r>
      <rPr>
        <sz val="10"/>
        <rFont val="Arial"/>
        <family val="0"/>
        <charset val="1"/>
      </rPr>
      <t xml:space="preserve">9/7–10/26</t>
    </r>
    <r>
      <rPr>
        <sz val="10"/>
        <rFont val="Noto Sans CJK SC"/>
        <family val="2"/>
      </rPr>
      <t xml:space="preserve">，</t>
    </r>
    <r>
      <rPr>
        <sz val="10"/>
        <rFont val="Arial"/>
        <family val="0"/>
        <charset val="1"/>
      </rPr>
      <t xml:space="preserve">per-issuer save + comment</t>
    </r>
    <r>
      <rPr>
        <sz val="10"/>
        <rFont val="Noto Sans CJK SC"/>
        <family val="2"/>
      </rPr>
      <t xml:space="preserve">。</t>
    </r>
  </si>
  <si>
    <r>
      <rPr>
        <sz val="10"/>
        <rFont val="Arial"/>
        <family val="0"/>
        <charset val="1"/>
      </rPr>
      <t xml:space="preserve">Memory</t>
    </r>
    <r>
      <rPr>
        <sz val="10"/>
        <rFont val="Noto Sans CJK SC"/>
        <family val="2"/>
      </rPr>
      <t xml:space="preserve">（</t>
    </r>
    <r>
      <rPr>
        <sz val="10"/>
        <rFont val="Arial"/>
        <family val="0"/>
        <charset val="1"/>
      </rPr>
      <t xml:space="preserve">Dima</t>
    </r>
    <r>
      <rPr>
        <sz val="10"/>
        <rFont val="Noto Sans CJK SC"/>
        <family val="2"/>
      </rPr>
      <t xml:space="preserve">）</t>
    </r>
  </si>
  <si>
    <r>
      <rPr>
        <sz val="10"/>
        <rFont val="Noto Sans CJK SC"/>
        <family val="2"/>
      </rPr>
      <t xml:space="preserve">确认样本是否超配 </t>
    </r>
    <r>
      <rPr>
        <sz val="10"/>
        <rFont val="Arial"/>
        <family val="0"/>
        <charset val="1"/>
      </rPr>
      <t xml:space="preserve">CR ≥4</t>
    </r>
    <r>
      <rPr>
        <sz val="10"/>
        <rFont val="Noto Sans CJK SC"/>
        <family val="2"/>
      </rPr>
      <t xml:space="preserve">、</t>
    </r>
    <r>
      <rPr>
        <sz val="10"/>
        <rFont val="Arial"/>
        <family val="0"/>
        <charset val="1"/>
      </rPr>
      <t xml:space="preserve">multi-country</t>
    </r>
    <r>
      <rPr>
        <sz val="10"/>
        <rFont val="Noto Sans CJK SC"/>
        <family val="2"/>
      </rPr>
      <t xml:space="preserve">、含 </t>
    </r>
    <r>
      <rPr>
        <sz val="10"/>
        <rFont val="Arial"/>
        <family val="0"/>
        <charset val="1"/>
      </rPr>
      <t xml:space="preserve">sub-5% exposure </t>
    </r>
    <r>
      <rPr>
        <sz val="10"/>
        <rFont val="Noto Sans CJK SC"/>
        <family val="2"/>
      </rPr>
      <t xml:space="preserve">的 </t>
    </r>
    <r>
      <rPr>
        <sz val="10"/>
        <rFont val="Arial"/>
        <family val="0"/>
        <charset val="1"/>
      </rPr>
      <t xml:space="preserve">entity</t>
    </r>
    <r>
      <rPr>
        <sz val="10"/>
        <rFont val="Noto Sans CJK SC"/>
        <family val="2"/>
      </rPr>
      <t xml:space="preserve">；确认 </t>
    </r>
    <r>
      <rPr>
        <sz val="10"/>
        <rFont val="Arial"/>
        <family val="0"/>
        <charset val="1"/>
      </rPr>
      <t xml:space="preserve">AQV </t>
    </r>
    <r>
      <rPr>
        <sz val="10"/>
        <rFont val="Noto Sans CJK SC"/>
        <family val="2"/>
      </rPr>
      <t xml:space="preserve">能否拿到 </t>
    </r>
    <r>
      <rPr>
        <sz val="10"/>
        <rFont val="Arial"/>
        <family val="0"/>
        <charset val="1"/>
      </rPr>
      <t xml:space="preserve">entity-level </t>
    </r>
    <r>
      <rPr>
        <sz val="10"/>
        <rFont val="Noto Sans CJK SC"/>
        <family val="2"/>
      </rPr>
      <t xml:space="preserve">输入与输出。</t>
    </r>
  </si>
  <si>
    <t xml:space="preserve">样本构成；数据访问权限。</t>
  </si>
  <si>
    <r>
      <rPr>
        <sz val="10"/>
        <rFont val="Noto Sans CJK SC"/>
        <family val="2"/>
      </rPr>
      <t xml:space="preserve">样本代表性是 </t>
    </r>
    <r>
      <rPr>
        <sz val="10"/>
        <rFont val="Arial"/>
        <family val="0"/>
        <charset val="1"/>
      </rPr>
      <t xml:space="preserve">Section 8.1 </t>
    </r>
    <r>
      <rPr>
        <sz val="10"/>
        <rFont val="Noto Sans CJK SC"/>
        <family val="2"/>
      </rPr>
      <t xml:space="preserve">的必答项。</t>
    </r>
  </si>
  <si>
    <r>
      <rPr>
        <b val="true"/>
        <sz val="13"/>
        <rFont val="Noto Sans CJK SC"/>
        <family val="2"/>
      </rPr>
      <t xml:space="preserve">题 </t>
    </r>
    <r>
      <rPr>
        <b val="true"/>
        <sz val="13"/>
        <rFont val="Arial"/>
        <family val="0"/>
        <charset val="1"/>
      </rPr>
      <t xml:space="preserve">2 / </t>
    </r>
    <r>
      <rPr>
        <b val="true"/>
        <sz val="13"/>
        <rFont val="Noto Sans CJK SC"/>
        <family val="2"/>
      </rPr>
      <t xml:space="preserve">题 </t>
    </r>
    <r>
      <rPr>
        <b val="true"/>
        <sz val="13"/>
        <rFont val="Arial"/>
        <family val="0"/>
        <charset val="1"/>
      </rPr>
      <t xml:space="preserve">11 — Benchmarks</t>
    </r>
  </si>
  <si>
    <r>
      <rPr>
        <i val="true"/>
        <sz val="9"/>
        <color rgb="FF555555"/>
        <rFont val="Noto Sans CJK SC"/>
        <family val="2"/>
      </rPr>
      <t xml:space="preserve">内部 </t>
    </r>
    <r>
      <rPr>
        <i val="true"/>
        <sz val="9"/>
        <color rgb="FF555555"/>
        <rFont val="Arial"/>
        <family val="0"/>
        <charset val="1"/>
      </rPr>
      <t xml:space="preserve">benchmark </t>
    </r>
    <r>
      <rPr>
        <i val="true"/>
        <sz val="9"/>
        <color rgb="FF555555"/>
        <rFont val="Noto Sans CJK SC"/>
        <family val="2"/>
      </rPr>
      <t xml:space="preserve">已读；外部 </t>
    </r>
    <r>
      <rPr>
        <i val="true"/>
        <sz val="9"/>
        <color rgb="FF555555"/>
        <rFont val="Arial"/>
        <family val="0"/>
        <charset val="1"/>
      </rPr>
      <t xml:space="preserve">CRA benchmark </t>
    </r>
    <r>
      <rPr>
        <i val="true"/>
        <sz val="9"/>
        <color rgb="FF555555"/>
        <rFont val="Noto Sans CJK SC"/>
        <family val="2"/>
      </rPr>
      <t xml:space="preserve">未开始。</t>
    </r>
  </si>
  <si>
    <t xml:space="preserve">类别</t>
  </si>
  <si>
    <t xml:space="preserve">Benchmark</t>
  </si>
  <si>
    <t xml:space="preserve">规则摘要</t>
  </si>
  <si>
    <r>
      <rPr>
        <b val="true"/>
        <sz val="10"/>
        <color rgb="FFFFFFFF"/>
        <rFont val="Noto Sans CJK SC"/>
        <family val="2"/>
      </rPr>
      <t xml:space="preserve">与 </t>
    </r>
    <r>
      <rPr>
        <b val="true"/>
        <sz val="10"/>
        <color rgb="FFFFFFFF"/>
        <rFont val="Arial"/>
        <family val="0"/>
        <charset val="1"/>
      </rPr>
      <t xml:space="preserve">#1 proposal </t>
    </r>
    <r>
      <rPr>
        <b val="true"/>
        <sz val="10"/>
        <color rgb="FFFFFFFF"/>
        <rFont val="Noto Sans CJK SC"/>
        <family val="2"/>
      </rPr>
      <t xml:space="preserve">的关系</t>
    </r>
  </si>
  <si>
    <r>
      <rPr>
        <b val="true"/>
        <sz val="10"/>
        <color rgb="FFFFFFFF"/>
        <rFont val="Arial"/>
        <family val="0"/>
        <charset val="1"/>
      </rPr>
      <t xml:space="preserve">AQV </t>
    </r>
    <r>
      <rPr>
        <b val="true"/>
        <sz val="10"/>
        <color rgb="FFFFFFFF"/>
        <rFont val="Noto Sans CJK SC"/>
        <family val="2"/>
      </rPr>
      <t xml:space="preserve">用法</t>
    </r>
  </si>
  <si>
    <r>
      <rPr>
        <sz val="10"/>
        <rFont val="Noto Sans CJK SC"/>
        <family val="2"/>
      </rPr>
      <t xml:space="preserve">内部（上位 </t>
    </r>
    <r>
      <rPr>
        <sz val="10"/>
        <rFont val="Arial"/>
        <family val="0"/>
        <charset val="1"/>
      </rPr>
      <t xml:space="preserve">criteria</t>
    </r>
    <r>
      <rPr>
        <sz val="10"/>
        <rFont val="Noto Sans CJK SC"/>
        <family val="2"/>
      </rPr>
      <t xml:space="preserve">）</t>
    </r>
  </si>
  <si>
    <r>
      <rPr>
        <sz val="10"/>
        <rFont val="Arial"/>
        <family val="0"/>
        <charset val="1"/>
      </rPr>
      <t xml:space="preserve">Country Risk Assessment Methodology And Assumptions</t>
    </r>
    <r>
      <rPr>
        <sz val="10"/>
        <rFont val="Noto Sans CJK SC"/>
        <family val="2"/>
      </rPr>
      <t xml:space="preserve">（</t>
    </r>
    <r>
      <rPr>
        <sz val="10"/>
        <rFont val="Arial"/>
        <family val="0"/>
        <charset val="1"/>
      </rPr>
      <t xml:space="preserve">2013-11-19</t>
    </r>
    <r>
      <rPr>
        <sz val="10"/>
        <rFont val="Noto Sans CJK SC"/>
        <family val="2"/>
      </rPr>
      <t xml:space="preserve">）</t>
    </r>
    <r>
      <rPr>
        <sz val="10"/>
        <rFont val="Arial"/>
        <family val="0"/>
        <charset val="1"/>
      </rPr>
      <t xml:space="preserve">para 16</t>
    </r>
  </si>
  <si>
    <r>
      <rPr>
        <sz val="10"/>
        <rFont val="Arial"/>
        <family val="0"/>
        <charset val="1"/>
      </rPr>
      <t xml:space="preserve">Sector criteria </t>
    </r>
    <r>
      <rPr>
        <sz val="10"/>
        <rFont val="Noto Sans CJK SC"/>
        <family val="2"/>
      </rPr>
      <t xml:space="preserve">指定多国实体的汇总方法，</t>
    </r>
    <r>
      <rPr>
        <sz val="10"/>
        <rFont val="Arial"/>
        <family val="0"/>
        <charset val="1"/>
      </rPr>
      <t xml:space="preserve">"typically using a weighted-average approach"</t>
    </r>
    <r>
      <rPr>
        <sz val="10"/>
        <rFont val="Noto Sans CJK SC"/>
        <family val="2"/>
      </rPr>
      <t xml:space="preserve">。</t>
    </r>
  </si>
  <si>
    <r>
      <rPr>
        <sz val="10"/>
        <rFont val="Arial"/>
        <family val="0"/>
        <charset val="1"/>
      </rPr>
      <t xml:space="preserve">Proposal </t>
    </r>
    <r>
      <rPr>
        <sz val="10"/>
        <rFont val="Noto Sans CJK SC"/>
        <family val="2"/>
      </rPr>
      <t xml:space="preserve">以 </t>
    </r>
    <r>
      <rPr>
        <sz val="10"/>
        <rFont val="Arial"/>
        <family val="0"/>
        <charset val="1"/>
      </rPr>
      <t xml:space="preserve">weighted average </t>
    </r>
    <r>
      <rPr>
        <sz val="10"/>
        <rFont val="Noto Sans CJK SC"/>
        <family val="2"/>
      </rPr>
      <t xml:space="preserve">为主，一致。</t>
    </r>
  </si>
  <si>
    <r>
      <rPr>
        <sz val="10"/>
        <rFont val="Noto Sans CJK SC"/>
        <family val="2"/>
      </rPr>
      <t xml:space="preserve">支持 </t>
    </r>
    <r>
      <rPr>
        <sz val="10"/>
        <rFont val="Arial"/>
        <family val="0"/>
        <charset val="1"/>
      </rPr>
      <t xml:space="preserve">conceptual soundness</t>
    </r>
    <r>
      <rPr>
        <sz val="10"/>
        <rFont val="Noto Sans CJK SC"/>
        <family val="2"/>
      </rPr>
      <t xml:space="preserve">。</t>
    </r>
  </si>
  <si>
    <t xml:space="preserve">内部（平行构造）</t>
  </si>
  <si>
    <r>
      <rPr>
        <sz val="10"/>
        <rFont val="Arial"/>
        <family val="0"/>
        <charset val="1"/>
      </rPr>
      <t xml:space="preserve">Financial Institutions Rating Methodology</t>
    </r>
    <r>
      <rPr>
        <sz val="10"/>
        <rFont val="Noto Sans CJK SC"/>
        <family val="2"/>
      </rPr>
      <t xml:space="preserve">（</t>
    </r>
    <r>
      <rPr>
        <sz val="10"/>
        <rFont val="Arial"/>
        <family val="0"/>
        <charset val="1"/>
      </rPr>
      <t xml:space="preserve">2021-12-09</t>
    </r>
    <r>
      <rPr>
        <sz val="10"/>
        <rFont val="Noto Sans CJK SC"/>
        <family val="2"/>
      </rPr>
      <t xml:space="preserve">）</t>
    </r>
    <r>
      <rPr>
        <sz val="10"/>
        <rFont val="Arial"/>
        <family val="0"/>
        <charset val="1"/>
      </rPr>
      <t xml:space="preserve">paras 34–36</t>
    </r>
    <r>
      <rPr>
        <sz val="10"/>
        <rFont val="Noto Sans CJK SC"/>
        <family val="2"/>
      </rPr>
      <t xml:space="preserve">、</t>
    </r>
    <r>
      <rPr>
        <sz val="10"/>
        <rFont val="Arial"/>
        <family val="0"/>
        <charset val="1"/>
      </rPr>
      <t xml:space="preserve">Table 2</t>
    </r>
  </si>
  <si>
    <r>
      <rPr>
        <sz val="10"/>
        <rFont val="Arial"/>
        <family val="0"/>
        <charset val="1"/>
      </rPr>
      <t xml:space="preserve">Weighted-average economic risk</t>
    </r>
    <r>
      <rPr>
        <sz val="10"/>
        <rFont val="Noto Sans CJK SC"/>
        <family val="2"/>
      </rPr>
      <t xml:space="preserve">；只计 </t>
    </r>
    <r>
      <rPr>
        <sz val="10"/>
        <rFont val="Arial"/>
        <family val="0"/>
        <charset val="1"/>
      </rPr>
      <t xml:space="preserve">&gt;5% </t>
    </r>
    <r>
      <rPr>
        <sz val="10"/>
        <rFont val="Noto Sans CJK SC"/>
        <family val="2"/>
      </rPr>
      <t xml:space="preserve">的国家；权重 </t>
    </r>
    <r>
      <rPr>
        <sz val="10"/>
        <rFont val="Arial"/>
        <family val="0"/>
        <charset val="1"/>
      </rPr>
      <t xml:space="preserve">round to nearest 5%</t>
    </r>
    <r>
      <rPr>
        <sz val="10"/>
        <rFont val="Noto Sans CJK SC"/>
        <family val="2"/>
      </rPr>
      <t xml:space="preserve">；示例 </t>
    </r>
    <r>
      <rPr>
        <sz val="10"/>
        <rFont val="Arial"/>
        <family val="0"/>
        <charset val="1"/>
      </rPr>
      <t xml:space="preserve">2.55 → 3</t>
    </r>
    <r>
      <rPr>
        <sz val="10"/>
        <rFont val="Noto Sans CJK SC"/>
        <family val="2"/>
      </rPr>
      <t xml:space="preserve">。</t>
    </r>
  </si>
  <si>
    <r>
      <rPr>
        <sz val="10"/>
        <rFont val="Arial"/>
        <family val="0"/>
        <charset val="1"/>
      </rPr>
      <t xml:space="preserve">#1 </t>
    </r>
    <r>
      <rPr>
        <sz val="10"/>
        <rFont val="Noto Sans CJK SC"/>
        <family val="2"/>
      </rPr>
      <t xml:space="preserve">删除 </t>
    </r>
    <r>
      <rPr>
        <sz val="10"/>
        <rFont val="Arial"/>
        <family val="0"/>
        <charset val="1"/>
      </rPr>
      <t xml:space="preserve">5% threshold </t>
    </r>
    <r>
      <rPr>
        <sz val="10"/>
        <rFont val="Noto Sans CJK SC"/>
        <family val="2"/>
      </rPr>
      <t xml:space="preserve">与 </t>
    </r>
    <r>
      <rPr>
        <sz val="10"/>
        <rFont val="Arial"/>
        <family val="0"/>
        <charset val="1"/>
      </rPr>
      <t xml:space="preserve">5% rounding </t>
    </r>
    <r>
      <rPr>
        <sz val="10"/>
        <rFont val="Noto Sans CJK SC"/>
        <family val="2"/>
      </rPr>
      <t xml:space="preserve">后与 </t>
    </r>
    <r>
      <rPr>
        <sz val="10"/>
        <rFont val="Arial"/>
        <family val="0"/>
        <charset val="1"/>
      </rPr>
      <t xml:space="preserve">FI </t>
    </r>
    <r>
      <rPr>
        <sz val="10"/>
        <rFont val="Noto Sans CJK SC"/>
        <family val="2"/>
      </rPr>
      <t xml:space="preserve">分叉；</t>
    </r>
    <r>
      <rPr>
        <sz val="10"/>
        <rFont val="Arial"/>
        <family val="0"/>
        <charset val="1"/>
      </rPr>
      <t xml:space="preserve">FI </t>
    </r>
    <r>
      <rPr>
        <sz val="10"/>
        <rFont val="Noto Sans CJK SC"/>
        <family val="2"/>
      </rPr>
      <t xml:space="preserve">示例是 </t>
    </r>
    <r>
      <rPr>
        <sz val="10"/>
        <rFont val="Arial"/>
        <family val="0"/>
        <charset val="1"/>
      </rPr>
      <t xml:space="preserve">x.5 </t>
    </r>
    <r>
      <rPr>
        <sz val="10"/>
        <rFont val="Noto Sans CJK SC"/>
        <family val="2"/>
      </rPr>
      <t xml:space="preserve">向上取整的先例。</t>
    </r>
  </si>
  <si>
    <r>
      <rPr>
        <sz val="10"/>
        <rFont val="Noto Sans CJK SC"/>
        <family val="2"/>
      </rPr>
      <t xml:space="preserve">要求 </t>
    </r>
    <r>
      <rPr>
        <sz val="10"/>
        <rFont val="Arial"/>
        <family val="0"/>
        <charset val="1"/>
      </rPr>
      <t xml:space="preserve">squad </t>
    </r>
    <r>
      <rPr>
        <sz val="10"/>
        <rFont val="Noto Sans CJK SC"/>
        <family val="2"/>
      </rPr>
      <t xml:space="preserve">说明分叉理由；引用 </t>
    </r>
    <r>
      <rPr>
        <sz val="10"/>
        <rFont val="Arial"/>
        <family val="0"/>
        <charset val="1"/>
      </rPr>
      <t xml:space="preserve">rounding </t>
    </r>
    <r>
      <rPr>
        <sz val="10"/>
        <rFont val="Noto Sans CJK SC"/>
        <family val="2"/>
      </rPr>
      <t xml:space="preserve">先例。</t>
    </r>
  </si>
  <si>
    <r>
      <rPr>
        <sz val="10"/>
        <rFont val="Arial"/>
        <family val="0"/>
        <charset val="1"/>
      </rPr>
      <t xml:space="preserve">Ratings Above The Sovereign—Corporate And Government Ratings</t>
    </r>
    <r>
      <rPr>
        <sz val="10"/>
        <rFont val="Noto Sans CJK SC"/>
        <family val="2"/>
      </rPr>
      <t xml:space="preserve">（</t>
    </r>
    <r>
      <rPr>
        <sz val="10"/>
        <rFont val="Arial"/>
        <family val="0"/>
        <charset val="1"/>
      </rPr>
      <t xml:space="preserve">2013-11-19</t>
    </r>
    <r>
      <rPr>
        <sz val="10"/>
        <rFont val="Noto Sans CJK SC"/>
        <family val="2"/>
      </rPr>
      <t xml:space="preserve">）</t>
    </r>
    <r>
      <rPr>
        <sz val="10"/>
        <rFont val="Arial"/>
        <family val="0"/>
        <charset val="1"/>
      </rPr>
      <t xml:space="preserve">paras 55–58</t>
    </r>
  </si>
  <si>
    <r>
      <rPr>
        <sz val="10"/>
        <rFont val="Arial"/>
        <family val="0"/>
        <charset val="1"/>
      </rPr>
      <t xml:space="preserve">Corporates </t>
    </r>
    <r>
      <rPr>
        <sz val="10"/>
        <rFont val="Noto Sans CJK SC"/>
        <family val="2"/>
      </rPr>
      <t xml:space="preserve">用 </t>
    </r>
    <r>
      <rPr>
        <sz val="10"/>
        <rFont val="Arial"/>
        <family val="0"/>
        <charset val="1"/>
      </rPr>
      <t xml:space="preserve">blended sovereign rating</t>
    </r>
    <r>
      <rPr>
        <sz val="10"/>
        <rFont val="Noto Sans CJK SC"/>
        <family val="2"/>
      </rPr>
      <t xml:space="preserve">；</t>
    </r>
    <r>
      <rPr>
        <sz val="10"/>
        <rFont val="Arial"/>
        <family val="0"/>
        <charset val="1"/>
      </rPr>
      <t xml:space="preserve">25% materiality + judgment</t>
    </r>
    <r>
      <rPr>
        <sz val="10"/>
        <rFont val="Noto Sans CJK SC"/>
        <family val="2"/>
      </rPr>
      <t xml:space="preserve">；</t>
    </r>
    <r>
      <rPr>
        <sz val="10"/>
        <rFont val="Arial"/>
        <family val="0"/>
        <charset val="1"/>
      </rPr>
      <t xml:space="preserve">+1 </t>
    </r>
    <r>
      <rPr>
        <sz val="10"/>
        <rFont val="Noto Sans CJK SC"/>
        <family val="2"/>
      </rPr>
      <t xml:space="preserve">条件（</t>
    </r>
    <r>
      <rPr>
        <sz val="10"/>
        <rFont val="Arial"/>
        <family val="0"/>
        <charset val="1"/>
      </rPr>
      <t xml:space="preserve">head office</t>
    </r>
    <r>
      <rPr>
        <sz val="10"/>
        <rFont val="Noto Sans CJK SC"/>
        <family val="2"/>
      </rPr>
      <t xml:space="preserve">、</t>
    </r>
    <r>
      <rPr>
        <sz val="10"/>
        <rFont val="Arial"/>
        <family val="0"/>
        <charset val="1"/>
      </rPr>
      <t xml:space="preserve">20%</t>
    </r>
    <r>
      <rPr>
        <sz val="10"/>
        <rFont val="Noto Sans CJK SC"/>
        <family val="2"/>
      </rPr>
      <t xml:space="preserve">、</t>
    </r>
    <r>
      <rPr>
        <sz val="10"/>
        <rFont val="Arial"/>
        <family val="0"/>
        <charset val="1"/>
      </rPr>
      <t xml:space="preserve">holding-level funding</t>
    </r>
    <r>
      <rPr>
        <sz val="10"/>
        <rFont val="Noto Sans CJK SC"/>
        <family val="2"/>
      </rPr>
      <t xml:space="preserve">）；−</t>
    </r>
    <r>
      <rPr>
        <sz val="10"/>
        <rFont val="Arial"/>
        <family val="0"/>
        <charset val="1"/>
      </rPr>
      <t xml:space="preserve">1 </t>
    </r>
    <r>
      <rPr>
        <sz val="10"/>
        <rFont val="Noto Sans CJK SC"/>
        <family val="2"/>
      </rPr>
      <t xml:space="preserve">条件（</t>
    </r>
    <r>
      <rPr>
        <sz val="10"/>
        <rFont val="Arial"/>
        <family val="0"/>
        <charset val="1"/>
      </rPr>
      <t xml:space="preserve">head office</t>
    </r>
    <r>
      <rPr>
        <sz val="10"/>
        <rFont val="Noto Sans CJK SC"/>
        <family val="2"/>
      </rPr>
      <t xml:space="preserve">、</t>
    </r>
    <r>
      <rPr>
        <sz val="10"/>
        <rFont val="Arial"/>
        <family val="0"/>
        <charset val="1"/>
      </rPr>
      <t xml:space="preserve">funding</t>
    </r>
    <r>
      <rPr>
        <sz val="10"/>
        <rFont val="Noto Sans CJK SC"/>
        <family val="2"/>
      </rPr>
      <t xml:space="preserve">）。</t>
    </r>
  </si>
  <si>
    <r>
      <rPr>
        <sz val="10"/>
        <rFont val="Arial"/>
        <family val="0"/>
        <charset val="1"/>
      </rPr>
      <t xml:space="preserve">para 57 </t>
    </r>
    <r>
      <rPr>
        <sz val="10"/>
        <rFont val="Noto Sans CJK SC"/>
        <family val="2"/>
      </rPr>
      <t xml:space="preserve">是 </t>
    </r>
    <r>
      <rPr>
        <sz val="10"/>
        <rFont val="Arial"/>
        <family val="0"/>
        <charset val="1"/>
      </rPr>
      <t xml:space="preserve">Corporate Methodology para 49 </t>
    </r>
    <r>
      <rPr>
        <sz val="10"/>
        <rFont val="Noto Sans CJK SC"/>
        <family val="2"/>
      </rPr>
      <t xml:space="preserve">的镜像；</t>
    </r>
    <r>
      <rPr>
        <sz val="10"/>
        <rFont val="Arial"/>
        <family val="0"/>
        <charset val="1"/>
      </rPr>
      <t xml:space="preserve">para 58 </t>
    </r>
    <r>
      <rPr>
        <sz val="10"/>
        <rFont val="Noto Sans CJK SC"/>
        <family val="2"/>
      </rPr>
      <t xml:space="preserve">的 −</t>
    </r>
    <r>
      <rPr>
        <sz val="10"/>
        <rFont val="Arial"/>
        <family val="0"/>
        <charset val="1"/>
      </rPr>
      <t xml:space="preserve">1 </t>
    </r>
    <r>
      <rPr>
        <sz val="10"/>
        <rFont val="Noto Sans CJK SC"/>
        <family val="2"/>
      </rPr>
      <t xml:space="preserve">有 </t>
    </r>
    <r>
      <rPr>
        <sz val="10"/>
        <rFont val="Arial"/>
        <family val="0"/>
        <charset val="1"/>
      </rPr>
      <t xml:space="preserve">defined conditions</t>
    </r>
    <r>
      <rPr>
        <sz val="10"/>
        <rFont val="Noto Sans CJK SC"/>
        <family val="2"/>
      </rPr>
      <t xml:space="preserve">；删除 </t>
    </r>
    <r>
      <rPr>
        <sz val="10"/>
        <rFont val="Arial"/>
        <family val="0"/>
        <charset val="1"/>
      </rPr>
      <t xml:space="preserve">para 49 </t>
    </r>
    <r>
      <rPr>
        <sz val="10"/>
        <rFont val="Noto Sans CJK SC"/>
        <family val="2"/>
      </rPr>
      <t xml:space="preserve">后两者分叉。</t>
    </r>
  </si>
  <si>
    <r>
      <rPr>
        <sz val="10"/>
        <rFont val="Arial"/>
        <family val="0"/>
        <charset val="1"/>
      </rPr>
      <t xml:space="preserve">−1 notching </t>
    </r>
    <r>
      <rPr>
        <sz val="10"/>
        <rFont val="Noto Sans CJK SC"/>
        <family val="2"/>
      </rPr>
      <t xml:space="preserve">触发条件的对照；分叉需 </t>
    </r>
    <r>
      <rPr>
        <sz val="10"/>
        <rFont val="Arial"/>
        <family val="0"/>
        <charset val="1"/>
      </rPr>
      <t xml:space="preserve">squad </t>
    </r>
    <r>
      <rPr>
        <sz val="10"/>
        <rFont val="Noto Sans CJK SC"/>
        <family val="2"/>
      </rPr>
      <t xml:space="preserve">说明。</t>
    </r>
  </si>
  <si>
    <r>
      <rPr>
        <sz val="10"/>
        <rFont val="Noto Sans CJK SC"/>
        <family val="2"/>
      </rPr>
      <t xml:space="preserve">内部（借用 </t>
    </r>
    <r>
      <rPr>
        <sz val="10"/>
        <rFont val="Arial"/>
        <family val="0"/>
        <charset val="1"/>
      </rPr>
      <t xml:space="preserve">corporate </t>
    </r>
    <r>
      <rPr>
        <sz val="10"/>
        <rFont val="Noto Sans CJK SC"/>
        <family val="2"/>
      </rPr>
      <t xml:space="preserve">方法）</t>
    </r>
  </si>
  <si>
    <r>
      <rPr>
        <sz val="10"/>
        <rFont val="Arial"/>
        <family val="0"/>
        <charset val="1"/>
      </rPr>
      <t xml:space="preserve">IHC</t>
    </r>
    <r>
      <rPr>
        <sz val="10"/>
        <rFont val="Noto Sans CJK SC"/>
        <family val="2"/>
      </rPr>
      <t xml:space="preserve">（</t>
    </r>
    <r>
      <rPr>
        <sz val="10"/>
        <rFont val="Arial"/>
        <family val="0"/>
        <charset val="1"/>
      </rPr>
      <t xml:space="preserve">2015</t>
    </r>
    <r>
      <rPr>
        <sz val="10"/>
        <rFont val="Noto Sans CJK SC"/>
        <family val="2"/>
      </rPr>
      <t xml:space="preserve">）</t>
    </r>
    <r>
      <rPr>
        <sz val="10"/>
        <rFont val="Arial"/>
        <family val="0"/>
        <charset val="1"/>
      </rPr>
      <t xml:space="preserve">para 20</t>
    </r>
    <r>
      <rPr>
        <sz val="10"/>
        <rFont val="Noto Sans CJK SC"/>
        <family val="2"/>
      </rPr>
      <t xml:space="preserve">；</t>
    </r>
    <r>
      <rPr>
        <sz val="10"/>
        <rFont val="Arial"/>
        <family val="0"/>
        <charset val="1"/>
      </rPr>
      <t xml:space="preserve">Project Developers</t>
    </r>
    <r>
      <rPr>
        <sz val="10"/>
        <rFont val="Noto Sans CJK SC"/>
        <family val="2"/>
      </rPr>
      <t xml:space="preserve">（</t>
    </r>
    <r>
      <rPr>
        <sz val="10"/>
        <rFont val="Arial"/>
        <family val="0"/>
        <charset val="1"/>
      </rPr>
      <t xml:space="preserve">2016</t>
    </r>
    <r>
      <rPr>
        <sz val="10"/>
        <rFont val="Noto Sans CJK SC"/>
        <family val="2"/>
      </rPr>
      <t xml:space="preserve">）</t>
    </r>
    <r>
      <rPr>
        <sz val="10"/>
        <rFont val="Arial"/>
        <family val="0"/>
        <charset val="1"/>
      </rPr>
      <t xml:space="preserve">paras 23–26</t>
    </r>
    <r>
      <rPr>
        <sz val="10"/>
        <rFont val="Noto Sans CJK SC"/>
        <family val="2"/>
      </rPr>
      <t xml:space="preserve">；</t>
    </r>
    <r>
      <rPr>
        <sz val="10"/>
        <rFont val="Arial"/>
        <family val="0"/>
        <charset val="1"/>
      </rPr>
      <t xml:space="preserve">Commodities Trading</t>
    </r>
    <r>
      <rPr>
        <sz val="10"/>
        <rFont val="Noto Sans CJK SC"/>
        <family val="2"/>
      </rPr>
      <t xml:space="preserve">（</t>
    </r>
    <r>
      <rPr>
        <sz val="10"/>
        <rFont val="Arial"/>
        <family val="0"/>
        <charset val="1"/>
      </rPr>
      <t xml:space="preserve">2017</t>
    </r>
    <r>
      <rPr>
        <sz val="10"/>
        <rFont val="Noto Sans CJK SC"/>
        <family val="2"/>
      </rPr>
      <t xml:space="preserve">）</t>
    </r>
    <r>
      <rPr>
        <sz val="10"/>
        <rFont val="Arial"/>
        <family val="0"/>
        <charset val="1"/>
      </rPr>
      <t xml:space="preserve">paras 6–7</t>
    </r>
    <r>
      <rPr>
        <sz val="10"/>
        <rFont val="Noto Sans CJK SC"/>
        <family val="2"/>
      </rPr>
      <t xml:space="preserve">；</t>
    </r>
    <r>
      <rPr>
        <sz val="10"/>
        <rFont val="Arial"/>
        <family val="0"/>
        <charset val="1"/>
      </rPr>
      <t xml:space="preserve">Real Estate KCF</t>
    </r>
    <r>
      <rPr>
        <sz val="10"/>
        <rFont val="Noto Sans CJK SC"/>
        <family val="2"/>
      </rPr>
      <t xml:space="preserve">（</t>
    </r>
    <r>
      <rPr>
        <sz val="10"/>
        <rFont val="Arial"/>
        <family val="0"/>
        <charset val="1"/>
      </rPr>
      <t xml:space="preserve">2018</t>
    </r>
    <r>
      <rPr>
        <sz val="10"/>
        <rFont val="Noto Sans CJK SC"/>
        <family val="2"/>
      </rPr>
      <t xml:space="preserve">）</t>
    </r>
    <r>
      <rPr>
        <sz val="10"/>
        <rFont val="Arial"/>
        <family val="0"/>
        <charset val="1"/>
      </rPr>
      <t xml:space="preserve">para 23</t>
    </r>
  </si>
  <si>
    <r>
      <rPr>
        <sz val="10"/>
        <rFont val="Noto Sans CJK SC"/>
        <family val="2"/>
      </rPr>
      <t xml:space="preserve">复述 </t>
    </r>
    <r>
      <rPr>
        <sz val="10"/>
        <rFont val="Arial"/>
        <family val="0"/>
        <charset val="1"/>
      </rPr>
      <t xml:space="preserve">1–6 scale </t>
    </r>
    <r>
      <rPr>
        <sz val="10"/>
        <rFont val="Noto Sans CJK SC"/>
        <family val="2"/>
      </rPr>
      <t xml:space="preserve">与 </t>
    </r>
    <r>
      <rPr>
        <sz val="10"/>
        <rFont val="Arial"/>
        <family val="0"/>
        <charset val="1"/>
      </rPr>
      <t xml:space="preserve">CICRA </t>
    </r>
    <r>
      <rPr>
        <sz val="10"/>
        <rFont val="Noto Sans CJK SC"/>
        <family val="2"/>
      </rPr>
      <t xml:space="preserve">表，或引用 </t>
    </r>
    <r>
      <rPr>
        <sz val="10"/>
        <rFont val="Arial"/>
        <family val="0"/>
        <charset val="1"/>
      </rPr>
      <t xml:space="preserve">"global corporate criteria"</t>
    </r>
    <r>
      <rPr>
        <sz val="10"/>
        <rFont val="Noto Sans CJK SC"/>
        <family val="2"/>
      </rPr>
      <t xml:space="preserve">。</t>
    </r>
  </si>
  <si>
    <r>
      <rPr>
        <sz val="10"/>
        <rFont val="Noto Sans CJK SC"/>
        <family val="2"/>
      </rPr>
      <t xml:space="preserve">通过引用继承新 </t>
    </r>
    <r>
      <rPr>
        <sz val="10"/>
        <rFont val="Arial"/>
        <family val="0"/>
        <charset val="1"/>
      </rPr>
      <t xml:space="preserve">determination</t>
    </r>
    <r>
      <rPr>
        <sz val="10"/>
        <rFont val="Noto Sans CJK SC"/>
        <family val="2"/>
      </rPr>
      <t xml:space="preserve">。</t>
    </r>
  </si>
  <si>
    <r>
      <rPr>
        <sz val="10"/>
        <rFont val="Noto Sans CJK SC"/>
        <family val="2"/>
      </rPr>
      <t xml:space="preserve">确认无具体 </t>
    </r>
    <r>
      <rPr>
        <sz val="10"/>
        <rFont val="Arial"/>
        <family val="0"/>
        <charset val="1"/>
      </rPr>
      <t xml:space="preserve">para </t>
    </r>
    <r>
      <rPr>
        <sz val="10"/>
        <rFont val="Noto Sans CJK SC"/>
        <family val="2"/>
      </rPr>
      <t xml:space="preserve">号引用；列入 </t>
    </r>
    <r>
      <rPr>
        <sz val="10"/>
        <rFont val="Arial"/>
        <family val="0"/>
        <charset val="1"/>
      </rPr>
      <t xml:space="preserve">Section 1 "Related Criteria"</t>
    </r>
    <r>
      <rPr>
        <sz val="10"/>
        <rFont val="Noto Sans CJK SC"/>
        <family val="2"/>
      </rPr>
      <t xml:space="preserve">。</t>
    </r>
  </si>
  <si>
    <r>
      <rPr>
        <sz val="10"/>
        <rFont val="Noto Sans CJK SC"/>
        <family val="2"/>
      </rPr>
      <t xml:space="preserve">已有（抽查 </t>
    </r>
    <r>
      <rPr>
        <sz val="10"/>
        <rFont val="Arial"/>
        <family val="0"/>
        <charset val="1"/>
      </rPr>
      <t xml:space="preserve">4 </t>
    </r>
    <r>
      <rPr>
        <sz val="10"/>
        <rFont val="Noto Sans CJK SC"/>
        <family val="2"/>
      </rPr>
      <t xml:space="preserve">篇）</t>
    </r>
  </si>
  <si>
    <r>
      <rPr>
        <sz val="10"/>
        <rFont val="Noto Sans CJK SC"/>
        <family val="2"/>
      </rPr>
      <t xml:space="preserve">内部（</t>
    </r>
    <r>
      <rPr>
        <sz val="10"/>
        <rFont val="Arial"/>
        <family val="0"/>
        <charset val="1"/>
      </rPr>
      <t xml:space="preserve">sector </t>
    </r>
    <r>
      <rPr>
        <sz val="10"/>
        <rFont val="Noto Sans CJK SC"/>
        <family val="2"/>
      </rPr>
      <t xml:space="preserve">门槛）</t>
    </r>
  </si>
  <si>
    <r>
      <rPr>
        <sz val="10"/>
        <rFont val="Arial"/>
        <family val="0"/>
        <charset val="1"/>
      </rPr>
      <t xml:space="preserve">SSCM</t>
    </r>
    <r>
      <rPr>
        <sz val="10"/>
        <rFont val="Noto Sans CJK SC"/>
        <family val="2"/>
      </rPr>
      <t xml:space="preserve">（</t>
    </r>
    <r>
      <rPr>
        <sz val="10"/>
        <rFont val="Arial"/>
        <family val="0"/>
        <charset val="1"/>
      </rPr>
      <t xml:space="preserve">2025-07-07</t>
    </r>
    <r>
      <rPr>
        <sz val="10"/>
        <rFont val="Noto Sans CJK SC"/>
        <family val="2"/>
      </rPr>
      <t xml:space="preserve">）</t>
    </r>
    <r>
      <rPr>
        <sz val="10"/>
        <rFont val="Arial"/>
        <family val="0"/>
        <charset val="1"/>
      </rPr>
      <t xml:space="preserve">oil &amp; gas</t>
    </r>
    <r>
      <rPr>
        <sz val="10"/>
        <rFont val="Noto Sans CJK SC"/>
        <family val="2"/>
      </rPr>
      <t xml:space="preserve">、</t>
    </r>
    <r>
      <rPr>
        <sz val="10"/>
        <rFont val="Arial"/>
        <family val="0"/>
        <charset val="1"/>
      </rPr>
      <t xml:space="preserve">oilfield services</t>
    </r>
    <r>
      <rPr>
        <sz val="10"/>
        <rFont val="Noto Sans CJK SC"/>
        <family val="2"/>
      </rPr>
      <t xml:space="preserve">、</t>
    </r>
    <r>
      <rPr>
        <sz val="10"/>
        <rFont val="Arial"/>
        <family val="0"/>
        <charset val="1"/>
      </rPr>
      <t xml:space="preserve">utilities</t>
    </r>
    <r>
      <rPr>
        <sz val="10"/>
        <rFont val="Noto Sans CJK SC"/>
        <family val="2"/>
      </rPr>
      <t xml:space="preserve">、</t>
    </r>
    <r>
      <rPr>
        <sz val="10"/>
        <rFont val="Arial"/>
        <family val="0"/>
        <charset val="1"/>
      </rPr>
      <t xml:space="preserve">power</t>
    </r>
  </si>
  <si>
    <r>
      <rPr>
        <sz val="10"/>
        <rFont val="Noto Sans CJK SC"/>
        <family val="2"/>
      </rPr>
      <t xml:space="preserve">以 </t>
    </r>
    <r>
      <rPr>
        <sz val="10"/>
        <rFont val="Arial"/>
        <family val="0"/>
        <charset val="1"/>
      </rPr>
      <t xml:space="preserve">country risk score '3' or better / '4' or better </t>
    </r>
    <r>
      <rPr>
        <sz val="10"/>
        <rFont val="Noto Sans CJK SC"/>
        <family val="2"/>
      </rPr>
      <t xml:space="preserve">作 </t>
    </r>
    <r>
      <rPr>
        <sz val="10"/>
        <rFont val="Arial"/>
        <family val="0"/>
        <charset val="1"/>
      </rPr>
      <t xml:space="preserve">competitive position </t>
    </r>
    <r>
      <rPr>
        <sz val="10"/>
        <rFont val="Noto Sans CJK SC"/>
        <family val="2"/>
      </rPr>
      <t xml:space="preserve">或 </t>
    </r>
    <r>
      <rPr>
        <sz val="10"/>
        <rFont val="Arial"/>
        <family val="0"/>
        <charset val="1"/>
      </rPr>
      <t xml:space="preserve">volatility table </t>
    </r>
    <r>
      <rPr>
        <sz val="10"/>
        <rFont val="Noto Sans CJK SC"/>
        <family val="2"/>
      </rPr>
      <t xml:space="preserve">的门槛。</t>
    </r>
  </si>
  <si>
    <r>
      <rPr>
        <sz val="10"/>
        <rFont val="Noto Sans CJK SC"/>
        <family val="2"/>
      </rPr>
      <t xml:space="preserve">门槛引用国家 </t>
    </r>
    <r>
      <rPr>
        <sz val="10"/>
        <rFont val="Arial"/>
        <family val="0"/>
        <charset val="1"/>
      </rPr>
      <t xml:space="preserve">score</t>
    </r>
    <r>
      <rPr>
        <sz val="10"/>
        <rFont val="Noto Sans CJK SC"/>
        <family val="2"/>
      </rPr>
      <t xml:space="preserve">；−</t>
    </r>
    <r>
      <rPr>
        <sz val="10"/>
        <rFont val="Arial"/>
        <family val="0"/>
        <charset val="1"/>
      </rPr>
      <t xml:space="preserve">1 notching </t>
    </r>
    <r>
      <rPr>
        <sz val="10"/>
        <rFont val="Noto Sans CJK SC"/>
        <family val="2"/>
      </rPr>
      <t xml:space="preserve">可能触发门槛变动。</t>
    </r>
  </si>
  <si>
    <r>
      <rPr>
        <sz val="10"/>
        <rFont val="Noto Sans CJK SC"/>
        <family val="2"/>
      </rPr>
      <t xml:space="preserve">列入 </t>
    </r>
    <r>
      <rPr>
        <sz val="10"/>
        <rFont val="Arial"/>
        <family val="0"/>
        <charset val="1"/>
      </rPr>
      <t xml:space="preserve">3_Downstream</t>
    </r>
    <r>
      <rPr>
        <sz val="10"/>
        <rFont val="Noto Sans CJK SC"/>
        <family val="2"/>
      </rPr>
      <t xml:space="preserve">。</t>
    </r>
  </si>
  <si>
    <r>
      <rPr>
        <sz val="10"/>
        <rFont val="Noto Sans CJK SC"/>
        <family val="2"/>
      </rPr>
      <t xml:space="preserve">外部 </t>
    </r>
    <r>
      <rPr>
        <sz val="10"/>
        <rFont val="Arial"/>
        <family val="0"/>
        <charset val="1"/>
      </rPr>
      <t xml:space="preserve">CRA</t>
    </r>
  </si>
  <si>
    <t xml:space="preserve">Moody's corporate methodologies</t>
  </si>
  <si>
    <r>
      <rPr>
        <sz val="10"/>
        <rFont val="Noto Sans CJK SC"/>
        <family val="2"/>
      </rPr>
      <t xml:space="preserve">待查：</t>
    </r>
    <r>
      <rPr>
        <sz val="10"/>
        <rFont val="Arial"/>
        <family val="0"/>
        <charset val="1"/>
      </rPr>
      <t xml:space="preserve">country / operating environment risk </t>
    </r>
    <r>
      <rPr>
        <sz val="10"/>
        <rFont val="Noto Sans CJK SC"/>
        <family val="2"/>
      </rPr>
      <t xml:space="preserve">是 </t>
    </r>
    <r>
      <rPr>
        <sz val="10"/>
        <rFont val="Arial"/>
        <family val="0"/>
        <charset val="1"/>
      </rPr>
      <t xml:space="preserve">factor</t>
    </r>
    <r>
      <rPr>
        <sz val="10"/>
        <rFont val="Noto Sans CJK SC"/>
        <family val="2"/>
      </rPr>
      <t xml:space="preserve">、</t>
    </r>
    <r>
      <rPr>
        <sz val="10"/>
        <rFont val="Arial"/>
        <family val="0"/>
        <charset val="1"/>
      </rPr>
      <t xml:space="preserve">cap </t>
    </r>
    <r>
      <rPr>
        <sz val="10"/>
        <rFont val="Noto Sans CJK SC"/>
        <family val="2"/>
      </rPr>
      <t xml:space="preserve">还是 </t>
    </r>
    <r>
      <rPr>
        <sz val="10"/>
        <rFont val="Arial"/>
        <family val="0"/>
        <charset val="1"/>
      </rPr>
      <t xml:space="preserve">judgment</t>
    </r>
    <r>
      <rPr>
        <sz val="10"/>
        <rFont val="Noto Sans CJK SC"/>
        <family val="2"/>
      </rPr>
      <t xml:space="preserve">；有无 </t>
    </r>
    <r>
      <rPr>
        <sz val="10"/>
        <rFont val="Arial"/>
        <family val="0"/>
        <charset val="1"/>
      </rPr>
      <t xml:space="preserve">threshold </t>
    </r>
    <r>
      <rPr>
        <sz val="10"/>
        <rFont val="Noto Sans CJK SC"/>
        <family val="2"/>
      </rPr>
      <t xml:space="preserve">与 </t>
    </r>
    <r>
      <rPr>
        <sz val="10"/>
        <rFont val="Arial"/>
        <family val="0"/>
        <charset val="1"/>
      </rPr>
      <t xml:space="preserve">weighted average</t>
    </r>
    <r>
      <rPr>
        <sz val="10"/>
        <rFont val="Noto Sans CJK SC"/>
        <family val="2"/>
      </rPr>
      <t xml:space="preserve">。</t>
    </r>
  </si>
  <si>
    <r>
      <rPr>
        <sz val="10"/>
        <rFont val="Arial"/>
        <family val="0"/>
        <charset val="1"/>
      </rPr>
      <t xml:space="preserve">Section 2 "Relevant benchmarks" </t>
    </r>
    <r>
      <rPr>
        <sz val="10"/>
        <rFont val="Noto Sans CJK SC"/>
        <family val="2"/>
      </rPr>
      <t xml:space="preserve">行。</t>
    </r>
  </si>
  <si>
    <t xml:space="preserve">未开始</t>
  </si>
  <si>
    <r>
      <rPr>
        <sz val="10"/>
        <rFont val="Arial"/>
        <family val="0"/>
        <charset val="1"/>
      </rPr>
      <t xml:space="preserve">Fitch Corporate Rating Criteria</t>
    </r>
    <r>
      <rPr>
        <sz val="10"/>
        <rFont val="Noto Sans CJK SC"/>
        <family val="2"/>
      </rPr>
      <t xml:space="preserve">（</t>
    </r>
    <r>
      <rPr>
        <sz val="10"/>
        <rFont val="Arial"/>
        <family val="0"/>
        <charset val="1"/>
      </rPr>
      <t xml:space="preserve">operating environment / country ceiling</t>
    </r>
    <r>
      <rPr>
        <sz val="10"/>
        <rFont val="Noto Sans CJK SC"/>
        <family val="2"/>
      </rPr>
      <t xml:space="preserve">）</t>
    </r>
  </si>
  <si>
    <t xml:space="preserve">待查。</t>
  </si>
  <si>
    <t xml:space="preserve">同上。</t>
  </si>
  <si>
    <t xml:space="preserve">Scope corporate methodology</t>
  </si>
  <si>
    <t xml:space="preserve">材料清单与状态</t>
  </si>
  <si>
    <r>
      <rPr>
        <i val="true"/>
        <sz val="9"/>
        <color rgb="FF555555"/>
        <rFont val="Arial"/>
        <family val="0"/>
        <charset val="1"/>
      </rPr>
      <t xml:space="preserve">A = </t>
    </r>
    <r>
      <rPr>
        <i val="true"/>
        <sz val="9"/>
        <color rgb="FF555555"/>
        <rFont val="Noto Sans CJK SC"/>
        <family val="2"/>
      </rPr>
      <t xml:space="preserve">向 </t>
    </r>
    <r>
      <rPr>
        <i val="true"/>
        <sz val="9"/>
        <color rgb="FF555555"/>
        <rFont val="Arial"/>
        <family val="0"/>
        <charset val="1"/>
      </rPr>
      <t xml:space="preserve">squad / Dima </t>
    </r>
    <r>
      <rPr>
        <i val="true"/>
        <sz val="9"/>
        <color rgb="FF555555"/>
        <rFont val="Noto Sans CJK SC"/>
        <family val="2"/>
      </rPr>
      <t xml:space="preserve">索取；</t>
    </r>
    <r>
      <rPr>
        <i val="true"/>
        <sz val="9"/>
        <color rgb="FF555555"/>
        <rFont val="Arial"/>
        <family val="0"/>
        <charset val="1"/>
      </rPr>
      <t xml:space="preserve">B = </t>
    </r>
    <r>
      <rPr>
        <i val="true"/>
        <sz val="9"/>
        <color rgb="FF555555"/>
        <rFont val="Noto Sans CJK SC"/>
        <family val="2"/>
      </rPr>
      <t xml:space="preserve">自行取得；</t>
    </r>
    <r>
      <rPr>
        <i val="true"/>
        <sz val="9"/>
        <color rgb="FF555555"/>
        <rFont val="Arial"/>
        <family val="0"/>
        <charset val="1"/>
      </rPr>
      <t xml:space="preserve">C = AQV data request</t>
    </r>
    <r>
      <rPr>
        <i val="true"/>
        <sz val="9"/>
        <color rgb="FF555555"/>
        <rFont val="Noto Sans CJK SC"/>
        <family val="2"/>
      </rPr>
      <t xml:space="preserve">。</t>
    </r>
  </si>
  <si>
    <t xml:space="preserve">材料</t>
  </si>
  <si>
    <t xml:space="preserve">用于哪些题</t>
  </si>
  <si>
    <r>
      <rPr>
        <b val="true"/>
        <sz val="10"/>
        <color rgb="FFFFFFFF"/>
        <rFont val="Noto Sans CJK SC"/>
        <family val="2"/>
      </rPr>
      <t xml:space="preserve">位置 </t>
    </r>
    <r>
      <rPr>
        <b val="true"/>
        <sz val="10"/>
        <color rgb="FFFFFFFF"/>
        <rFont val="Arial"/>
        <family val="0"/>
        <charset val="1"/>
      </rPr>
      <t xml:space="preserve">/ </t>
    </r>
    <r>
      <rPr>
        <b val="true"/>
        <sz val="10"/>
        <color rgb="FFFFFFFF"/>
        <rFont val="Noto Sans CJK SC"/>
        <family val="2"/>
      </rPr>
      <t xml:space="preserve">来源</t>
    </r>
  </si>
  <si>
    <t xml:space="preserve">备注</t>
  </si>
  <si>
    <t xml:space="preserve">A.1</t>
  </si>
  <si>
    <r>
      <rPr>
        <sz val="10"/>
        <rFont val="Arial"/>
        <family val="0"/>
        <charset val="1"/>
      </rPr>
      <t xml:space="preserve">Proposed criteria draft </t>
    </r>
    <r>
      <rPr>
        <sz val="10"/>
        <rFont val="Noto Sans CJK SC"/>
        <family val="2"/>
      </rPr>
      <t xml:space="preserve">或 </t>
    </r>
    <r>
      <rPr>
        <sz val="10"/>
        <rFont val="Arial"/>
        <family val="0"/>
        <charset val="1"/>
      </rPr>
      <t xml:space="preserve">redline</t>
    </r>
    <r>
      <rPr>
        <sz val="10"/>
        <rFont val="Noto Sans CJK SC"/>
        <family val="2"/>
      </rPr>
      <t xml:space="preserve">（</t>
    </r>
    <r>
      <rPr>
        <sz val="10"/>
        <rFont val="Arial"/>
        <family val="0"/>
        <charset val="1"/>
      </rPr>
      <t xml:space="preserve">country risk section</t>
    </r>
    <r>
      <rPr>
        <sz val="10"/>
        <rFont val="Noto Sans CJK SC"/>
        <family val="2"/>
      </rPr>
      <t xml:space="preserve">；</t>
    </r>
    <r>
      <rPr>
        <sz val="10"/>
        <rFont val="Arial"/>
        <family val="0"/>
        <charset val="1"/>
      </rPr>
      <t xml:space="preserve">Table 1/2/6</t>
    </r>
    <r>
      <rPr>
        <sz val="10"/>
        <rFont val="Noto Sans CJK SC"/>
        <family val="2"/>
      </rPr>
      <t xml:space="preserve">；</t>
    </r>
    <r>
      <rPr>
        <sz val="10"/>
        <rFont val="Arial"/>
        <family val="0"/>
        <charset val="1"/>
      </rPr>
      <t xml:space="preserve">Appendix A Table 26</t>
    </r>
    <r>
      <rPr>
        <sz val="10"/>
        <rFont val="Noto Sans CJK SC"/>
        <family val="2"/>
      </rPr>
      <t xml:space="preserve">；</t>
    </r>
    <r>
      <rPr>
        <sz val="10"/>
        <rFont val="Arial"/>
        <family val="0"/>
        <charset val="1"/>
      </rPr>
      <t xml:space="preserve">paras 45/46/47/50/51 </t>
    </r>
    <r>
      <rPr>
        <sz val="10"/>
        <rFont val="Noto Sans CJK SC"/>
        <family val="2"/>
      </rPr>
      <t xml:space="preserve">去留）</t>
    </r>
  </si>
  <si>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8</t>
    </r>
    <r>
      <rPr>
        <sz val="10"/>
        <rFont val="Noto Sans CJK SC"/>
        <family val="2"/>
      </rPr>
      <t xml:space="preserve">、</t>
    </r>
    <r>
      <rPr>
        <sz val="10"/>
        <rFont val="Arial"/>
        <family val="0"/>
        <charset val="1"/>
      </rPr>
      <t xml:space="preserve">9</t>
    </r>
  </si>
  <si>
    <t xml:space="preserve">待索取</t>
  </si>
  <si>
    <t xml:space="preserve">Squad</t>
  </si>
  <si>
    <r>
      <rPr>
        <sz val="10"/>
        <rFont val="Noto Sans CJK SC"/>
        <family val="2"/>
      </rPr>
      <t xml:space="preserve">目前只有 </t>
    </r>
    <r>
      <rPr>
        <sz val="10"/>
        <rFont val="Arial"/>
        <family val="0"/>
        <charset val="1"/>
      </rPr>
      <t xml:space="preserve">deck</t>
    </r>
    <r>
      <rPr>
        <sz val="10"/>
        <rFont val="Noto Sans CJK SC"/>
        <family val="2"/>
      </rPr>
      <t xml:space="preserve">（</t>
    </r>
    <r>
      <rPr>
        <sz val="10"/>
        <rFont val="Arial"/>
        <family val="0"/>
        <charset val="1"/>
      </rPr>
      <t xml:space="preserve">Lun 2026-09-23 </t>
    </r>
    <r>
      <rPr>
        <sz val="10"/>
        <rFont val="Noto Sans CJK SC"/>
        <family val="2"/>
      </rPr>
      <t xml:space="preserve">确认）。</t>
    </r>
  </si>
  <si>
    <t xml:space="preserve">A.2</t>
  </si>
  <si>
    <r>
      <rPr>
        <sz val="10"/>
        <rFont val="Arial"/>
        <family val="0"/>
        <charset val="1"/>
      </rPr>
      <t xml:space="preserve">Alternatives-considered </t>
    </r>
    <r>
      <rPr>
        <sz val="10"/>
        <rFont val="Noto Sans CJK SC"/>
        <family val="2"/>
      </rPr>
      <t xml:space="preserve">记录（</t>
    </r>
    <r>
      <rPr>
        <sz val="10"/>
        <rFont val="Arial"/>
        <family val="0"/>
        <charset val="1"/>
      </rPr>
      <t xml:space="preserve">10% threshold</t>
    </r>
    <r>
      <rPr>
        <sz val="10"/>
        <rFont val="Noto Sans CJK SC"/>
        <family val="2"/>
      </rPr>
      <t xml:space="preserve">、</t>
    </r>
    <r>
      <rPr>
        <sz val="10"/>
        <rFont val="Arial"/>
        <family val="0"/>
        <charset val="1"/>
      </rPr>
      <t xml:space="preserve">CICRA 1–3 </t>
    </r>
    <r>
      <rPr>
        <sz val="10"/>
        <rFont val="Noto Sans CJK SC"/>
        <family val="2"/>
      </rPr>
      <t xml:space="preserve">不做分析、</t>
    </r>
    <r>
      <rPr>
        <sz val="10"/>
        <rFont val="Arial"/>
        <family val="0"/>
        <charset val="1"/>
      </rPr>
      <t xml:space="preserve">+1 </t>
    </r>
    <r>
      <rPr>
        <sz val="10"/>
        <rFont val="Noto Sans CJK SC"/>
        <family val="2"/>
      </rPr>
      <t xml:space="preserve">被否决）</t>
    </r>
  </si>
  <si>
    <r>
      <rPr>
        <sz val="10"/>
        <rFont val="Arial"/>
        <family val="0"/>
        <charset val="1"/>
      </rPr>
      <t xml:space="preserve">Template Test #1 </t>
    </r>
    <r>
      <rPr>
        <sz val="10"/>
        <rFont val="Noto Sans CJK SC"/>
        <family val="2"/>
      </rPr>
      <t xml:space="preserve">要求。</t>
    </r>
  </si>
  <si>
    <t xml:space="preserve">A.3</t>
  </si>
  <si>
    <r>
      <rPr>
        <sz val="10"/>
        <rFont val="Arial"/>
        <family val="0"/>
        <charset val="1"/>
      </rPr>
      <t xml:space="preserve">Usage </t>
    </r>
    <r>
      <rPr>
        <sz val="10"/>
        <rFont val="Noto Sans CJK SC"/>
        <family val="2"/>
      </rPr>
      <t xml:space="preserve">数字的底稿名单（</t>
    </r>
    <r>
      <rPr>
        <sz val="10"/>
        <rFont val="Arial"/>
        <family val="0"/>
        <charset val="1"/>
      </rPr>
      <t xml:space="preserve">para 26</t>
    </r>
    <r>
      <rPr>
        <sz val="10"/>
        <rFont val="Noto Sans CJK SC"/>
        <family val="2"/>
      </rPr>
      <t xml:space="preserve">：</t>
    </r>
    <r>
      <rPr>
        <sz val="10"/>
        <rFont val="Arial"/>
        <family val="0"/>
        <charset val="1"/>
      </rPr>
      <t xml:space="preserve">2 + 8</t>
    </r>
    <r>
      <rPr>
        <sz val="10"/>
        <rFont val="Noto Sans CJK SC"/>
        <family val="2"/>
      </rPr>
      <t xml:space="preserve">；</t>
    </r>
    <r>
      <rPr>
        <sz val="10"/>
        <rFont val="Arial"/>
        <family val="0"/>
        <charset val="1"/>
      </rPr>
      <t xml:space="preserve">CICRA 4 / Excellent CP</t>
    </r>
    <r>
      <rPr>
        <sz val="10"/>
        <rFont val="Noto Sans CJK SC"/>
        <family val="2"/>
      </rPr>
      <t xml:space="preserve">：</t>
    </r>
    <r>
      <rPr>
        <sz val="10"/>
        <rFont val="Arial"/>
        <family val="0"/>
        <charset val="1"/>
      </rPr>
      <t xml:space="preserve">48 / 19 / 33</t>
    </r>
    <r>
      <rPr>
        <sz val="10"/>
        <rFont val="Noto Sans CJK SC"/>
        <family val="2"/>
      </rPr>
      <t xml:space="preserve">；</t>
    </r>
    <r>
      <rPr>
        <sz val="10"/>
        <rFont val="Arial"/>
        <family val="0"/>
        <charset val="1"/>
      </rPr>
      <t xml:space="preserve">para 49</t>
    </r>
    <r>
      <rPr>
        <sz val="10"/>
        <rFont val="Noto Sans CJK SC"/>
        <family val="2"/>
      </rPr>
      <t xml:space="preserve">：</t>
    </r>
    <r>
      <rPr>
        <sz val="10"/>
        <rFont val="Arial"/>
        <family val="0"/>
        <charset val="1"/>
      </rPr>
      <t xml:space="preserve">9 / 2</t>
    </r>
    <r>
      <rPr>
        <sz val="10"/>
        <rFont val="Noto Sans CJK SC"/>
        <family val="2"/>
      </rPr>
      <t xml:space="preserve">）</t>
    </r>
  </si>
  <si>
    <r>
      <rPr>
        <sz val="10"/>
        <rFont val="Arial"/>
        <family val="0"/>
        <charset val="1"/>
      </rPr>
      <t xml:space="preserve">5</t>
    </r>
    <r>
      <rPr>
        <sz val="10"/>
        <rFont val="Noto Sans CJK SC"/>
        <family val="2"/>
      </rPr>
      <t xml:space="preserve">、</t>
    </r>
    <r>
      <rPr>
        <sz val="10"/>
        <rFont val="Arial"/>
        <family val="0"/>
        <charset val="1"/>
      </rPr>
      <t xml:space="preserve">6</t>
    </r>
    <r>
      <rPr>
        <sz val="10"/>
        <rFont val="Noto Sans CJK SC"/>
        <family val="2"/>
      </rPr>
      <t xml:space="preserve">、</t>
    </r>
    <r>
      <rPr>
        <sz val="10"/>
        <rFont val="Arial"/>
        <family val="0"/>
        <charset val="1"/>
      </rPr>
      <t xml:space="preserve">10</t>
    </r>
  </si>
  <si>
    <t xml:space="preserve">A.4</t>
  </si>
  <si>
    <r>
      <rPr>
        <sz val="10"/>
        <rFont val="Arial"/>
        <family val="0"/>
        <charset val="1"/>
      </rPr>
      <t xml:space="preserve">Impact testing </t>
    </r>
    <r>
      <rPr>
        <sz val="10"/>
        <rFont val="Noto Sans CJK SC"/>
        <family val="2"/>
      </rPr>
      <t xml:space="preserve">输出：</t>
    </r>
    <r>
      <rPr>
        <sz val="10"/>
        <rFont val="Arial"/>
        <family val="0"/>
        <charset val="1"/>
      </rPr>
      <t xml:space="preserve">entity-level before / after</t>
    </r>
    <r>
      <rPr>
        <sz val="10"/>
        <rFont val="Noto Sans CJK SC"/>
        <family val="2"/>
      </rPr>
      <t xml:space="preserve">（</t>
    </r>
    <r>
      <rPr>
        <sz val="10"/>
        <rFont val="Arial"/>
        <family val="0"/>
        <charset val="1"/>
      </rPr>
      <t xml:space="preserve">CR score</t>
    </r>
    <r>
      <rPr>
        <sz val="10"/>
        <rFont val="Noto Sans CJK SC"/>
        <family val="2"/>
      </rPr>
      <t xml:space="preserve">、</t>
    </r>
    <r>
      <rPr>
        <sz val="10"/>
        <rFont val="Arial"/>
        <family val="0"/>
        <charset val="1"/>
      </rPr>
      <t xml:space="preserve">CICRA</t>
    </r>
    <r>
      <rPr>
        <sz val="10"/>
        <rFont val="Noto Sans CJK SC"/>
        <family val="2"/>
      </rPr>
      <t xml:space="preserve">、</t>
    </r>
    <r>
      <rPr>
        <sz val="10"/>
        <rFont val="Arial"/>
        <family val="0"/>
        <charset val="1"/>
      </rPr>
      <t xml:space="preserve">BRP</t>
    </r>
    <r>
      <rPr>
        <sz val="10"/>
        <rFont val="Noto Sans CJK SC"/>
        <family val="2"/>
      </rPr>
      <t xml:space="preserve">、</t>
    </r>
    <r>
      <rPr>
        <sz val="10"/>
        <rFont val="Arial"/>
        <family val="0"/>
        <charset val="1"/>
      </rPr>
      <t xml:space="preserve">anchor</t>
    </r>
    <r>
      <rPr>
        <sz val="10"/>
        <rFont val="Noto Sans CJK SC"/>
        <family val="2"/>
      </rPr>
      <t xml:space="preserve">、</t>
    </r>
    <r>
      <rPr>
        <sz val="10"/>
        <rFont val="Arial"/>
        <family val="0"/>
        <charset val="1"/>
      </rPr>
      <t xml:space="preserve">SACP</t>
    </r>
    <r>
      <rPr>
        <sz val="10"/>
        <rFont val="Noto Sans CJK SC"/>
        <family val="2"/>
      </rPr>
      <t xml:space="preserve">、</t>
    </r>
    <r>
      <rPr>
        <sz val="10"/>
        <rFont val="Arial"/>
        <family val="0"/>
        <charset val="1"/>
      </rPr>
      <t xml:space="preserve">ICR</t>
    </r>
    <r>
      <rPr>
        <sz val="10"/>
        <rFont val="Noto Sans CJK SC"/>
        <family val="2"/>
      </rPr>
      <t xml:space="preserve">）与样本构成</t>
    </r>
  </si>
  <si>
    <r>
      <rPr>
        <sz val="10"/>
        <rFont val="Arial"/>
        <family val="0"/>
        <charset val="1"/>
      </rPr>
      <t xml:space="preserve">Squad</t>
    </r>
    <r>
      <rPr>
        <sz val="10"/>
        <rFont val="Noto Sans CJK SC"/>
        <family val="2"/>
      </rPr>
      <t xml:space="preserve">（</t>
    </r>
    <r>
      <rPr>
        <sz val="10"/>
        <rFont val="Arial"/>
        <family val="0"/>
        <charset val="1"/>
      </rPr>
      <t xml:space="preserve">testing 9/7–10/26</t>
    </r>
    <r>
      <rPr>
        <sz val="10"/>
        <rFont val="Noto Sans CJK SC"/>
        <family val="2"/>
      </rPr>
      <t xml:space="preserve">）</t>
    </r>
  </si>
  <si>
    <r>
      <rPr>
        <sz val="10"/>
        <rFont val="Arial"/>
        <family val="0"/>
        <charset val="1"/>
      </rPr>
      <t xml:space="preserve">AQV </t>
    </r>
    <r>
      <rPr>
        <sz val="10"/>
        <rFont val="Noto Sans CJK SC"/>
        <family val="2"/>
      </rPr>
      <t xml:space="preserve">数据访问权限未确认。</t>
    </r>
  </si>
  <si>
    <t xml:space="preserve">A.5</t>
  </si>
  <si>
    <r>
      <rPr>
        <sz val="10"/>
        <rFont val="Arial"/>
        <family val="0"/>
        <charset val="1"/>
      </rPr>
      <t xml:space="preserve">CCST </t>
    </r>
    <r>
      <rPr>
        <sz val="10"/>
        <rFont val="Noto Sans CJK SC"/>
        <family val="2"/>
      </rPr>
      <t xml:space="preserve">新 </t>
    </r>
    <r>
      <rPr>
        <sz val="10"/>
        <rFont val="Arial"/>
        <family val="0"/>
        <charset val="1"/>
      </rPr>
      <t xml:space="preserve">country risk </t>
    </r>
    <r>
      <rPr>
        <sz val="10"/>
        <rFont val="Noto Sans CJK SC"/>
        <family val="2"/>
      </rPr>
      <t xml:space="preserve">模块的计算规则（</t>
    </r>
    <r>
      <rPr>
        <sz val="10"/>
        <rFont val="Arial"/>
        <family val="0"/>
        <charset val="1"/>
      </rPr>
      <t xml:space="preserve">integer rounding</t>
    </r>
    <r>
      <rPr>
        <sz val="10"/>
        <rFont val="Noto Sans CJK SC"/>
        <family val="2"/>
      </rPr>
      <t xml:space="preserve">、</t>
    </r>
    <r>
      <rPr>
        <sz val="10"/>
        <rFont val="Arial"/>
        <family val="0"/>
        <charset val="1"/>
      </rPr>
      <t xml:space="preserve">x.5</t>
    </r>
    <r>
      <rPr>
        <sz val="10"/>
        <rFont val="Noto Sans CJK SC"/>
        <family val="2"/>
      </rPr>
      <t xml:space="preserve">、</t>
    </r>
    <r>
      <rPr>
        <sz val="10"/>
        <rFont val="Arial"/>
        <family val="0"/>
        <charset val="1"/>
      </rPr>
      <t xml:space="preserve">region score</t>
    </r>
    <r>
      <rPr>
        <sz val="10"/>
        <rFont val="Noto Sans CJK SC"/>
        <family val="2"/>
      </rPr>
      <t xml:space="preserve">、</t>
    </r>
    <r>
      <rPr>
        <sz val="10"/>
        <rFont val="Arial"/>
        <family val="0"/>
        <charset val="1"/>
      </rPr>
      <t xml:space="preserve">weak-link </t>
    </r>
    <r>
      <rPr>
        <sz val="10"/>
        <rFont val="Noto Sans CJK SC"/>
        <family val="2"/>
      </rPr>
      <t xml:space="preserve">开关、</t>
    </r>
    <r>
      <rPr>
        <sz val="10"/>
        <rFont val="Arial"/>
        <family val="0"/>
        <charset val="1"/>
      </rPr>
      <t xml:space="preserve">notching </t>
    </r>
    <r>
      <rPr>
        <sz val="10"/>
        <rFont val="Noto Sans CJK SC"/>
        <family val="2"/>
      </rPr>
      <t xml:space="preserve">字段、</t>
    </r>
    <r>
      <rPr>
        <sz val="10"/>
        <rFont val="Arial"/>
        <family val="0"/>
        <charset val="1"/>
      </rPr>
      <t xml:space="preserve">bucket </t>
    </r>
    <r>
      <rPr>
        <sz val="10"/>
        <rFont val="Noto Sans CJK SC"/>
        <family val="2"/>
      </rPr>
      <t xml:space="preserve">处理）及 </t>
    </r>
    <r>
      <rPr>
        <sz val="10"/>
        <rFont val="Arial"/>
        <family val="0"/>
        <charset val="1"/>
      </rPr>
      <t xml:space="preserve">model validation </t>
    </r>
    <r>
      <rPr>
        <sz val="10"/>
        <rFont val="Noto Sans CJK SC"/>
        <family val="2"/>
      </rPr>
      <t xml:space="preserve">归属</t>
    </r>
  </si>
  <si>
    <r>
      <rPr>
        <sz val="10"/>
        <rFont val="Arial"/>
        <family val="0"/>
        <charset val="1"/>
      </rPr>
      <t xml:space="preserve">6</t>
    </r>
    <r>
      <rPr>
        <sz val="10"/>
        <rFont val="Noto Sans CJK SC"/>
        <family val="2"/>
      </rPr>
      <t xml:space="preserve">、</t>
    </r>
    <r>
      <rPr>
        <sz val="10"/>
        <rFont val="Arial"/>
        <family val="0"/>
        <charset val="1"/>
      </rPr>
      <t xml:space="preserve">9</t>
    </r>
    <r>
      <rPr>
        <sz val="10"/>
        <rFont val="Noto Sans CJK SC"/>
        <family val="2"/>
      </rPr>
      <t xml:space="preserve">、</t>
    </r>
    <r>
      <rPr>
        <sz val="10"/>
        <rFont val="Arial"/>
        <family val="0"/>
        <charset val="1"/>
      </rPr>
      <t xml:space="preserve">12</t>
    </r>
  </si>
  <si>
    <t xml:space="preserve">Squad / Model team</t>
  </si>
  <si>
    <t xml:space="preserve">A.6</t>
  </si>
  <si>
    <r>
      <rPr>
        <sz val="10"/>
        <rFont val="Arial"/>
        <family val="0"/>
        <charset val="1"/>
      </rPr>
      <t xml:space="preserve">Country risk vs sovereign risk </t>
    </r>
    <r>
      <rPr>
        <sz val="10"/>
        <rFont val="Noto Sans CJK SC"/>
        <family val="2"/>
      </rPr>
      <t xml:space="preserve">的定义澄清文字</t>
    </r>
  </si>
  <si>
    <r>
      <rPr>
        <sz val="10"/>
        <rFont val="Arial"/>
        <family val="0"/>
        <charset val="1"/>
      </rPr>
      <t xml:space="preserve">1</t>
    </r>
    <r>
      <rPr>
        <sz val="10"/>
        <rFont val="Noto Sans CJK SC"/>
        <family val="2"/>
      </rPr>
      <t xml:space="preserve">、</t>
    </r>
    <r>
      <rPr>
        <sz val="10"/>
        <rFont val="Arial"/>
        <family val="0"/>
        <charset val="1"/>
      </rPr>
      <t xml:space="preserve">9</t>
    </r>
  </si>
  <si>
    <t xml:space="preserve">A.7</t>
  </si>
  <si>
    <r>
      <rPr>
        <sz val="10"/>
        <rFont val="Noto Sans CJK SC"/>
        <family val="2"/>
      </rPr>
      <t xml:space="preserve">现行 </t>
    </r>
    <r>
      <rPr>
        <sz val="10"/>
        <rFont val="Arial"/>
        <family val="0"/>
        <charset val="1"/>
      </rPr>
      <t xml:space="preserve">country risk assessment </t>
    </r>
    <r>
      <rPr>
        <sz val="10"/>
        <rFont val="Noto Sans CJK SC"/>
        <family val="2"/>
      </rPr>
      <t xml:space="preserve">列表（</t>
    </r>
    <r>
      <rPr>
        <sz val="10"/>
        <rFont val="Arial"/>
        <family val="0"/>
        <charset val="1"/>
      </rPr>
      <t xml:space="preserve">1–6 by country</t>
    </r>
    <r>
      <rPr>
        <sz val="10"/>
        <rFont val="Noto Sans CJK SC"/>
        <family val="2"/>
      </rPr>
      <t xml:space="preserve">）与 </t>
    </r>
    <r>
      <rPr>
        <sz val="10"/>
        <rFont val="Arial"/>
        <family val="0"/>
        <charset val="1"/>
      </rPr>
      <t xml:space="preserve">regional assessments</t>
    </r>
  </si>
  <si>
    <r>
      <rPr>
        <sz val="10"/>
        <rFont val="Arial"/>
        <family val="0"/>
        <charset val="1"/>
      </rPr>
      <t xml:space="preserve">6</t>
    </r>
    <r>
      <rPr>
        <sz val="10"/>
        <rFont val="Noto Sans CJK SC"/>
        <family val="2"/>
      </rPr>
      <t xml:space="preserve">、</t>
    </r>
    <r>
      <rPr>
        <sz val="10"/>
        <rFont val="Arial"/>
        <family val="0"/>
        <charset val="1"/>
      </rPr>
      <t xml:space="preserve">7</t>
    </r>
  </si>
  <si>
    <r>
      <rPr>
        <sz val="10"/>
        <rFont val="Arial"/>
        <family val="0"/>
        <charset val="1"/>
      </rPr>
      <t xml:space="preserve">Squad / SIV </t>
    </r>
    <r>
      <rPr>
        <sz val="10"/>
        <rFont val="Noto Sans CJK SC"/>
        <family val="2"/>
      </rPr>
      <t xml:space="preserve">内容</t>
    </r>
  </si>
  <si>
    <r>
      <rPr>
        <sz val="10"/>
        <rFont val="Noto Sans CJK SC"/>
        <family val="2"/>
      </rPr>
      <t xml:space="preserve">用于 </t>
    </r>
    <r>
      <rPr>
        <sz val="10"/>
        <rFont val="Arial"/>
        <family val="0"/>
        <charset val="1"/>
      </rPr>
      <t xml:space="preserve">scenario </t>
    </r>
    <r>
      <rPr>
        <sz val="10"/>
        <rFont val="Noto Sans CJK SC"/>
        <family val="2"/>
      </rPr>
      <t xml:space="preserve">计算。</t>
    </r>
  </si>
  <si>
    <t xml:space="preserve">B.1</t>
  </si>
  <si>
    <r>
      <rPr>
        <sz val="10"/>
        <rFont val="Arial"/>
        <family val="0"/>
        <charset val="1"/>
      </rPr>
      <t xml:space="preserve">Corporate Methodology</t>
    </r>
    <r>
      <rPr>
        <sz val="10"/>
        <rFont val="Noto Sans CJK SC"/>
        <family val="2"/>
      </rPr>
      <t xml:space="preserve">（</t>
    </r>
    <r>
      <rPr>
        <sz val="10"/>
        <rFont val="Arial"/>
        <family val="0"/>
        <charset val="1"/>
      </rPr>
      <t xml:space="preserve">2024-01-07</t>
    </r>
    <r>
      <rPr>
        <sz val="10"/>
        <rFont val="Noto Sans CJK SC"/>
        <family val="2"/>
      </rPr>
      <t xml:space="preserve">）</t>
    </r>
    <r>
      <rPr>
        <sz val="10"/>
        <rFont val="Arial"/>
        <family val="0"/>
        <charset val="1"/>
      </rPr>
      <t xml:space="preserve">paras 22–27</t>
    </r>
    <r>
      <rPr>
        <sz val="10"/>
        <rFont val="Noto Sans CJK SC"/>
        <family val="2"/>
      </rPr>
      <t xml:space="preserve">、</t>
    </r>
    <r>
      <rPr>
        <sz val="10"/>
        <rFont val="Arial"/>
        <family val="0"/>
        <charset val="1"/>
      </rPr>
      <t xml:space="preserve">40–51</t>
    </r>
    <r>
      <rPr>
        <sz val="10"/>
        <rFont val="Noto Sans CJK SC"/>
        <family val="2"/>
      </rPr>
      <t xml:space="preserve">、</t>
    </r>
    <r>
      <rPr>
        <sz val="10"/>
        <rFont val="Arial"/>
        <family val="0"/>
        <charset val="1"/>
      </rPr>
      <t xml:space="preserve">87</t>
    </r>
    <r>
      <rPr>
        <sz val="10"/>
        <rFont val="Noto Sans CJK SC"/>
        <family val="2"/>
      </rPr>
      <t xml:space="preserve">、</t>
    </r>
    <r>
      <rPr>
        <sz val="10"/>
        <rFont val="Arial"/>
        <family val="0"/>
        <charset val="1"/>
      </rPr>
      <t xml:space="preserve">123</t>
    </r>
    <r>
      <rPr>
        <sz val="10"/>
        <rFont val="Noto Sans CJK SC"/>
        <family val="2"/>
      </rPr>
      <t xml:space="preserve">、</t>
    </r>
    <r>
      <rPr>
        <sz val="10"/>
        <rFont val="Arial"/>
        <family val="0"/>
        <charset val="1"/>
      </rPr>
      <t xml:space="preserve">134</t>
    </r>
    <r>
      <rPr>
        <sz val="10"/>
        <rFont val="Noto Sans CJK SC"/>
        <family val="2"/>
      </rPr>
      <t xml:space="preserve">、</t>
    </r>
    <r>
      <rPr>
        <sz val="10"/>
        <rFont val="Arial"/>
        <family val="0"/>
        <charset val="1"/>
      </rPr>
      <t xml:space="preserve">217–219</t>
    </r>
    <r>
      <rPr>
        <sz val="10"/>
        <rFont val="Noto Sans CJK SC"/>
        <family val="2"/>
      </rPr>
      <t xml:space="preserve">；</t>
    </r>
    <r>
      <rPr>
        <sz val="10"/>
        <rFont val="Arial"/>
        <family val="0"/>
        <charset val="1"/>
      </rPr>
      <t xml:space="preserve">Tables 1/2/3/6</t>
    </r>
    <r>
      <rPr>
        <sz val="10"/>
        <rFont val="Noto Sans CJK SC"/>
        <family val="2"/>
      </rPr>
      <t xml:space="preserve">；</t>
    </r>
    <r>
      <rPr>
        <sz val="10"/>
        <rFont val="Arial"/>
        <family val="0"/>
        <charset val="1"/>
      </rPr>
      <t xml:space="preserve">Appendix A Table 26</t>
    </r>
  </si>
  <si>
    <r>
      <rPr>
        <sz val="10"/>
        <rFont val="Arial"/>
        <family val="0"/>
        <charset val="1"/>
      </rPr>
      <t xml:space="preserve">1</t>
    </r>
    <r>
      <rPr>
        <sz val="10"/>
        <rFont val="Noto Sans CJK SC"/>
        <family val="2"/>
      </rPr>
      <t xml:space="preserve">、</t>
    </r>
    <r>
      <rPr>
        <sz val="10"/>
        <rFont val="Arial"/>
        <family val="0"/>
        <charset val="1"/>
      </rPr>
      <t xml:space="preserve">3</t>
    </r>
    <r>
      <rPr>
        <sz val="10"/>
        <rFont val="Noto Sans CJK SC"/>
        <family val="2"/>
      </rPr>
      <t xml:space="preserve">、</t>
    </r>
    <r>
      <rPr>
        <sz val="10"/>
        <rFont val="Arial"/>
        <family val="0"/>
        <charset val="1"/>
      </rPr>
      <t xml:space="preserve">7</t>
    </r>
  </si>
  <si>
    <t xml:space="preserve">criteria-library/02_corporates/corp_2024-01-07_corporate-methodology.pdf</t>
  </si>
  <si>
    <t xml:space="preserve">已抽取相关段落。</t>
  </si>
  <si>
    <t xml:space="preserve">B.2</t>
  </si>
  <si>
    <r>
      <rPr>
        <sz val="10"/>
        <rFont val="Arial"/>
        <family val="0"/>
        <charset val="1"/>
      </rPr>
      <t xml:space="preserve">Sector-Specific Corporate Methodology</t>
    </r>
    <r>
      <rPr>
        <sz val="10"/>
        <rFont val="Noto Sans CJK SC"/>
        <family val="2"/>
      </rPr>
      <t xml:space="preserve">（</t>
    </r>
    <r>
      <rPr>
        <sz val="10"/>
        <rFont val="Arial"/>
        <family val="0"/>
        <charset val="1"/>
      </rPr>
      <t xml:space="preserve">2025-07-07</t>
    </r>
    <r>
      <rPr>
        <sz val="10"/>
        <rFont val="Noto Sans CJK SC"/>
        <family val="2"/>
      </rPr>
      <t xml:space="preserve">）</t>
    </r>
    <r>
      <rPr>
        <sz val="10"/>
        <rFont val="Arial"/>
        <family val="0"/>
        <charset val="1"/>
      </rPr>
      <t xml:space="preserve">country risk </t>
    </r>
    <r>
      <rPr>
        <sz val="10"/>
        <rFont val="Noto Sans CJK SC"/>
        <family val="2"/>
      </rPr>
      <t xml:space="preserve">门槛条款</t>
    </r>
  </si>
  <si>
    <t xml:space="preserve">criteria-library/02_corporates/corp_2025-07-07_sector-specific-corporate-methodology.pdf</t>
  </si>
  <si>
    <r>
      <rPr>
        <sz val="10"/>
        <rFont val="Arial"/>
        <family val="0"/>
        <charset val="1"/>
      </rPr>
      <t xml:space="preserve">iCloud placeholder</t>
    </r>
    <r>
      <rPr>
        <sz val="10"/>
        <rFont val="Noto Sans CJK SC"/>
        <family val="2"/>
      </rPr>
      <t xml:space="preserve">，需 </t>
    </r>
    <r>
      <rPr>
        <sz val="10"/>
        <rFont val="Arial"/>
        <family val="0"/>
        <charset val="1"/>
      </rPr>
      <t xml:space="preserve">stage </t>
    </r>
    <r>
      <rPr>
        <sz val="10"/>
        <rFont val="Noto Sans CJK SC"/>
        <family val="2"/>
      </rPr>
      <t xml:space="preserve">后读。</t>
    </r>
  </si>
  <si>
    <t xml:space="preserve">B.3</t>
  </si>
  <si>
    <r>
      <rPr>
        <sz val="10"/>
        <rFont val="Arial"/>
        <family val="0"/>
        <charset val="1"/>
      </rPr>
      <t xml:space="preserve">2</t>
    </r>
    <r>
      <rPr>
        <sz val="10"/>
        <rFont val="Noto Sans CJK SC"/>
        <family val="2"/>
      </rPr>
      <t xml:space="preserve">、</t>
    </r>
    <r>
      <rPr>
        <sz val="10"/>
        <rFont val="Arial"/>
        <family val="0"/>
        <charset val="1"/>
      </rPr>
      <t xml:space="preserve">11</t>
    </r>
  </si>
  <si>
    <t xml:space="preserve">criteria-library/01_general_criteria/gen_2013-11-19_country-risk-assessment-methodology-and-assumptions.pdf</t>
  </si>
  <si>
    <t xml:space="preserve">B.4</t>
  </si>
  <si>
    <t xml:space="preserve">criteria-library/01_general_criteria/gen_2013-11-19_ratings-above-the-sovereign-corporate-and-government-ratings.pdf</t>
  </si>
  <si>
    <t xml:space="preserve">B.5</t>
  </si>
  <si>
    <r>
      <rPr>
        <sz val="10"/>
        <rFont val="Arial"/>
        <family val="0"/>
        <charset val="1"/>
      </rPr>
      <t xml:space="preserve">Financial Institutions Rating Methodology</t>
    </r>
    <r>
      <rPr>
        <sz val="10"/>
        <rFont val="Noto Sans CJK SC"/>
        <family val="2"/>
      </rPr>
      <t xml:space="preserve">（</t>
    </r>
    <r>
      <rPr>
        <sz val="10"/>
        <rFont val="Arial"/>
        <family val="0"/>
        <charset val="1"/>
      </rPr>
      <t xml:space="preserve">2021-12-09</t>
    </r>
    <r>
      <rPr>
        <sz val="10"/>
        <rFont val="Noto Sans CJK SC"/>
        <family val="2"/>
      </rPr>
      <t xml:space="preserve">）</t>
    </r>
    <r>
      <rPr>
        <sz val="10"/>
        <rFont val="Arial"/>
        <family val="0"/>
        <charset val="1"/>
      </rPr>
      <t xml:space="preserve">paras 34–36</t>
    </r>
  </si>
  <si>
    <t xml:space="preserve">criteria-library/03_financial_institutions/fi_2021-12-09_financial-institutions-rating-methodology.pdf</t>
  </si>
  <si>
    <t xml:space="preserve">B.6</t>
  </si>
  <si>
    <r>
      <rPr>
        <sz val="10"/>
        <rFont val="Arial"/>
        <family val="0"/>
        <charset val="1"/>
      </rPr>
      <t xml:space="preserve">Group Rating Methodology</t>
    </r>
    <r>
      <rPr>
        <sz val="10"/>
        <rFont val="Noto Sans CJK SC"/>
        <family val="2"/>
      </rPr>
      <t xml:space="preserve">；</t>
    </r>
    <r>
      <rPr>
        <sz val="10"/>
        <rFont val="Arial"/>
        <family val="0"/>
        <charset val="1"/>
      </rPr>
      <t xml:space="preserve">GRE methodology</t>
    </r>
  </si>
  <si>
    <r>
      <rPr>
        <sz val="10"/>
        <rFont val="Arial"/>
        <family val="0"/>
        <charset val="1"/>
      </rPr>
      <t xml:space="preserve">6</t>
    </r>
    <r>
      <rPr>
        <sz val="10"/>
        <rFont val="Noto Sans CJK SC"/>
        <family val="2"/>
      </rPr>
      <t xml:space="preserve">（</t>
    </r>
    <r>
      <rPr>
        <sz val="10"/>
        <rFont val="Arial"/>
        <family val="0"/>
        <charset val="1"/>
      </rPr>
      <t xml:space="preserve">S3</t>
    </r>
    <r>
      <rPr>
        <sz val="10"/>
        <rFont val="Noto Sans CJK SC"/>
        <family val="2"/>
      </rPr>
      <t xml:space="preserve">）</t>
    </r>
  </si>
  <si>
    <t xml:space="preserve">待读</t>
  </si>
  <si>
    <t xml:space="preserve">criteria-library/01_general_criteria/</t>
  </si>
  <si>
    <r>
      <rPr>
        <sz val="10"/>
        <rFont val="Noto Sans CJK SC"/>
        <family val="2"/>
      </rPr>
      <t xml:space="preserve">用于 </t>
    </r>
    <r>
      <rPr>
        <sz val="10"/>
        <rFont val="Arial"/>
        <family val="0"/>
        <charset val="1"/>
      </rPr>
      <t xml:space="preserve">para 26 </t>
    </r>
    <r>
      <rPr>
        <sz val="10"/>
        <rFont val="Noto Sans CJK SC"/>
        <family val="2"/>
      </rPr>
      <t xml:space="preserve">的 </t>
    </r>
    <r>
      <rPr>
        <sz val="10"/>
        <rFont val="Arial"/>
        <family val="0"/>
        <charset val="1"/>
      </rPr>
      <t xml:space="preserve">support </t>
    </r>
    <r>
      <rPr>
        <sz val="10"/>
        <rFont val="Noto Sans CJK SC"/>
        <family val="2"/>
      </rPr>
      <t xml:space="preserve">逻辑。</t>
    </r>
  </si>
  <si>
    <t xml:space="preserve">B.7</t>
  </si>
  <si>
    <r>
      <rPr>
        <sz val="10"/>
        <rFont val="Noto Sans CJK SC"/>
        <family val="2"/>
      </rPr>
      <t xml:space="preserve">借用 </t>
    </r>
    <r>
      <rPr>
        <sz val="10"/>
        <rFont val="Arial"/>
        <family val="0"/>
        <charset val="1"/>
      </rPr>
      <t xml:space="preserve">corporate country risk </t>
    </r>
    <r>
      <rPr>
        <sz val="10"/>
        <rFont val="Noto Sans CJK SC"/>
        <family val="2"/>
      </rPr>
      <t xml:space="preserve">的其他 </t>
    </r>
    <r>
      <rPr>
        <sz val="10"/>
        <rFont val="Arial"/>
        <family val="0"/>
        <charset val="1"/>
      </rPr>
      <t xml:space="preserve">criteria</t>
    </r>
    <r>
      <rPr>
        <sz val="10"/>
        <rFont val="Noto Sans CJK SC"/>
        <family val="2"/>
      </rPr>
      <t xml:space="preserve">（</t>
    </r>
    <r>
      <rPr>
        <sz val="10"/>
        <rFont val="Arial"/>
        <family val="0"/>
        <charset val="1"/>
      </rPr>
      <t xml:space="preserve">IHC</t>
    </r>
    <r>
      <rPr>
        <sz val="10"/>
        <rFont val="Noto Sans CJK SC"/>
        <family val="2"/>
      </rPr>
      <t xml:space="preserve">、</t>
    </r>
    <r>
      <rPr>
        <sz val="10"/>
        <rFont val="Arial"/>
        <family val="0"/>
        <charset val="1"/>
      </rPr>
      <t xml:space="preserve">Project Developers</t>
    </r>
    <r>
      <rPr>
        <sz val="10"/>
        <rFont val="Noto Sans CJK SC"/>
        <family val="2"/>
      </rPr>
      <t xml:space="preserve">、</t>
    </r>
    <r>
      <rPr>
        <sz val="10"/>
        <rFont val="Arial"/>
        <family val="0"/>
        <charset val="1"/>
      </rPr>
      <t xml:space="preserve">Commodities Trading</t>
    </r>
    <r>
      <rPr>
        <sz val="10"/>
        <rFont val="Noto Sans CJK SC"/>
        <family val="2"/>
      </rPr>
      <t xml:space="preserve">、</t>
    </r>
    <r>
      <rPr>
        <sz val="10"/>
        <rFont val="Arial"/>
        <family val="0"/>
        <charset val="1"/>
      </rPr>
      <t xml:space="preserve">Real Estate KCF</t>
    </r>
    <r>
      <rPr>
        <sz val="10"/>
        <rFont val="Noto Sans CJK SC"/>
        <family val="2"/>
      </rPr>
      <t xml:space="preserve">；待查 </t>
    </r>
    <r>
      <rPr>
        <sz val="10"/>
        <rFont val="Arial"/>
        <family val="0"/>
        <charset val="1"/>
      </rPr>
      <t xml:space="preserve">MLP</t>
    </r>
    <r>
      <rPr>
        <sz val="10"/>
        <rFont val="Noto Sans CJK SC"/>
        <family val="2"/>
      </rPr>
      <t xml:space="preserve">、</t>
    </r>
    <r>
      <rPr>
        <sz val="10"/>
        <rFont val="Arial"/>
        <family val="0"/>
        <charset val="1"/>
      </rPr>
      <t xml:space="preserve">General Trading</t>
    </r>
    <r>
      <rPr>
        <sz val="10"/>
        <rFont val="Noto Sans CJK SC"/>
        <family val="2"/>
      </rPr>
      <t xml:space="preserve">、</t>
    </r>
    <r>
      <rPr>
        <sz val="10"/>
        <rFont val="Arial"/>
        <family val="0"/>
        <charset val="1"/>
      </rPr>
      <t xml:space="preserve">Captive Finance </t>
    </r>
    <r>
      <rPr>
        <sz val="10"/>
        <rFont val="Noto Sans CJK SC"/>
        <family val="2"/>
      </rPr>
      <t xml:space="preserve">等）</t>
    </r>
  </si>
  <si>
    <r>
      <rPr>
        <sz val="10"/>
        <rFont val="Noto Sans CJK SC"/>
        <family val="2"/>
      </rPr>
      <t xml:space="preserve">部分已有（</t>
    </r>
    <r>
      <rPr>
        <sz val="10"/>
        <rFont val="Arial"/>
        <family val="0"/>
        <charset val="1"/>
      </rPr>
      <t xml:space="preserve">4 </t>
    </r>
    <r>
      <rPr>
        <sz val="10"/>
        <rFont val="Noto Sans CJK SC"/>
        <family val="2"/>
      </rPr>
      <t xml:space="preserve">篇）</t>
    </r>
  </si>
  <si>
    <t xml:space="preserve">criteria-library/02_corporates/</t>
  </si>
  <si>
    <r>
      <rPr>
        <sz val="10"/>
        <rFont val="Noto Sans CJK SC"/>
        <family val="2"/>
      </rPr>
      <t xml:space="preserve">抽查未见具体 </t>
    </r>
    <r>
      <rPr>
        <sz val="10"/>
        <rFont val="Arial"/>
        <family val="0"/>
        <charset val="1"/>
      </rPr>
      <t xml:space="preserve">para </t>
    </r>
    <r>
      <rPr>
        <sz val="10"/>
        <rFont val="Noto Sans CJK SC"/>
        <family val="2"/>
      </rPr>
      <t xml:space="preserve">号引用。</t>
    </r>
  </si>
  <si>
    <t xml:space="preserve">B.8</t>
  </si>
  <si>
    <r>
      <rPr>
        <sz val="10"/>
        <rFont val="Arial"/>
        <family val="0"/>
        <charset val="1"/>
      </rPr>
      <t xml:space="preserve">2025 Corporate Traditional Framework Review Report</t>
    </r>
    <r>
      <rPr>
        <sz val="10"/>
        <rFont val="Noto Sans CJK SC"/>
        <family val="2"/>
      </rPr>
      <t xml:space="preserve">；历史 </t>
    </r>
    <r>
      <rPr>
        <sz val="10"/>
        <rFont val="Arial"/>
        <family val="0"/>
        <charset val="1"/>
      </rPr>
      <t xml:space="preserve">Corporate Methodology CVR</t>
    </r>
  </si>
  <si>
    <r>
      <rPr>
        <sz val="10"/>
        <rFont val="Arial"/>
        <family val="0"/>
        <charset val="1"/>
      </rPr>
      <t xml:space="preserve">SQE</t>
    </r>
    <r>
      <rPr>
        <sz val="10"/>
        <rFont val="Noto Sans CJK SC"/>
        <family val="2"/>
      </rPr>
      <t xml:space="preserve">、历史 </t>
    </r>
    <r>
      <rPr>
        <sz val="10"/>
        <rFont val="Arial"/>
        <family val="0"/>
        <charset val="1"/>
      </rPr>
      <t xml:space="preserve">performance</t>
    </r>
  </si>
  <si>
    <t xml:space="preserve">待取</t>
  </si>
  <si>
    <r>
      <rPr>
        <sz val="10"/>
        <rFont val="Arial"/>
        <family val="0"/>
        <charset val="1"/>
      </rPr>
      <t xml:space="preserve">AQV </t>
    </r>
    <r>
      <rPr>
        <sz val="10"/>
        <rFont val="Noto Sans CJK SC"/>
        <family val="2"/>
      </rPr>
      <t xml:space="preserve">内部</t>
    </r>
  </si>
  <si>
    <r>
      <rPr>
        <sz val="10"/>
        <rFont val="Arial"/>
        <family val="0"/>
        <charset val="1"/>
      </rPr>
      <t xml:space="preserve">working doc §3 </t>
    </r>
    <r>
      <rPr>
        <sz val="10"/>
        <rFont val="Noto Sans CJK SC"/>
        <family val="2"/>
      </rPr>
      <t xml:space="preserve">已引用 </t>
    </r>
    <r>
      <rPr>
        <sz val="10"/>
        <rFont val="Arial"/>
        <family val="0"/>
        <charset val="1"/>
      </rPr>
      <t xml:space="preserve">FR </t>
    </r>
    <r>
      <rPr>
        <sz val="10"/>
        <rFont val="Noto Sans CJK SC"/>
        <family val="2"/>
      </rPr>
      <t xml:space="preserve">结论。</t>
    </r>
  </si>
  <si>
    <t xml:space="preserve">B.9</t>
  </si>
  <si>
    <r>
      <rPr>
        <sz val="10"/>
        <rFont val="Arial"/>
        <family val="0"/>
        <charset val="1"/>
      </rPr>
      <t xml:space="preserve">AQV Criteria Validation Operational Guidelines</t>
    </r>
    <r>
      <rPr>
        <sz val="10"/>
        <rFont val="Noto Sans CJK SC"/>
        <family val="2"/>
      </rPr>
      <t xml:space="preserve">（</t>
    </r>
    <r>
      <rPr>
        <sz val="10"/>
        <rFont val="Arial"/>
        <family val="0"/>
        <charset val="1"/>
      </rPr>
      <t xml:space="preserve">AJ scale</t>
    </r>
    <r>
      <rPr>
        <sz val="10"/>
        <rFont val="Noto Sans CJK SC"/>
        <family val="2"/>
      </rPr>
      <t xml:space="preserve">、</t>
    </r>
    <r>
      <rPr>
        <sz val="10"/>
        <rFont val="Arial"/>
        <family val="0"/>
        <charset val="1"/>
      </rPr>
      <t xml:space="preserve">PI classification</t>
    </r>
    <r>
      <rPr>
        <sz val="10"/>
        <rFont val="Noto Sans CJK SC"/>
        <family val="2"/>
      </rPr>
      <t xml:space="preserve">、</t>
    </r>
    <r>
      <rPr>
        <sz val="10"/>
        <rFont val="Arial"/>
        <family val="0"/>
        <charset val="1"/>
      </rPr>
      <t xml:space="preserve">Ground Rules</t>
    </r>
    <r>
      <rPr>
        <sz val="10"/>
        <rFont val="Noto Sans CJK SC"/>
        <family val="2"/>
      </rPr>
      <t xml:space="preserve">）</t>
    </r>
  </si>
  <si>
    <r>
      <rPr>
        <sz val="10"/>
        <rFont val="Arial"/>
        <family val="0"/>
        <charset val="1"/>
      </rPr>
      <t xml:space="preserve">8</t>
    </r>
    <r>
      <rPr>
        <sz val="10"/>
        <rFont val="Noto Sans CJK SC"/>
        <family val="2"/>
      </rPr>
      <t xml:space="preserve">、</t>
    </r>
    <r>
      <rPr>
        <sz val="10"/>
        <rFont val="Arial"/>
        <family val="0"/>
        <charset val="1"/>
      </rPr>
      <t xml:space="preserve">9</t>
    </r>
  </si>
  <si>
    <t xml:space="preserve">Criteria Explainer/AQV_Criteria_Validation_Operational_Guidelines.md</t>
  </si>
  <si>
    <t xml:space="preserve">B.10</t>
  </si>
  <si>
    <r>
      <rPr>
        <sz val="10"/>
        <rFont val="Arial"/>
        <family val="0"/>
        <charset val="1"/>
      </rPr>
      <t xml:space="preserve">CP-49 </t>
    </r>
    <r>
      <rPr>
        <sz val="10"/>
        <rFont val="Noto Sans CJK SC"/>
        <family val="2"/>
      </rPr>
      <t xml:space="preserve">与 </t>
    </r>
    <r>
      <rPr>
        <sz val="10"/>
        <rFont val="Arial"/>
        <family val="0"/>
        <charset val="1"/>
      </rPr>
      <t xml:space="preserve">CP-64 CVR</t>
    </r>
    <r>
      <rPr>
        <sz val="10"/>
        <rFont val="Noto Sans CJK SC"/>
        <family val="2"/>
      </rPr>
      <t xml:space="preserve">（写法范式）</t>
    </r>
  </si>
  <si>
    <t xml:space="preserve">全部</t>
  </si>
  <si>
    <t xml:space="preserve">Criteri Projects/CVRs/</t>
  </si>
  <si>
    <t xml:space="preserve">B.11</t>
  </si>
  <si>
    <r>
      <rPr>
        <sz val="10"/>
        <rFont val="Noto Sans CJK SC"/>
        <family val="2"/>
      </rPr>
      <t xml:space="preserve">外部 </t>
    </r>
    <r>
      <rPr>
        <sz val="10"/>
        <rFont val="Arial"/>
        <family val="0"/>
        <charset val="1"/>
      </rPr>
      <t xml:space="preserve">CRA corporate methodology</t>
    </r>
    <r>
      <rPr>
        <sz val="10"/>
        <rFont val="Noto Sans CJK SC"/>
        <family val="2"/>
      </rPr>
      <t xml:space="preserve">（</t>
    </r>
    <r>
      <rPr>
        <sz val="10"/>
        <rFont val="Arial"/>
        <family val="0"/>
        <charset val="1"/>
      </rPr>
      <t xml:space="preserve">Moody's</t>
    </r>
    <r>
      <rPr>
        <sz val="10"/>
        <rFont val="Noto Sans CJK SC"/>
        <family val="2"/>
      </rPr>
      <t xml:space="preserve">、</t>
    </r>
    <r>
      <rPr>
        <sz val="10"/>
        <rFont val="Arial"/>
        <family val="0"/>
        <charset val="1"/>
      </rPr>
      <t xml:space="preserve">Fitch</t>
    </r>
    <r>
      <rPr>
        <sz val="10"/>
        <rFont val="Noto Sans CJK SC"/>
        <family val="2"/>
      </rPr>
      <t xml:space="preserve">、</t>
    </r>
    <r>
      <rPr>
        <sz val="10"/>
        <rFont val="Arial"/>
        <family val="0"/>
        <charset val="1"/>
      </rPr>
      <t xml:space="preserve">Scope</t>
    </r>
    <r>
      <rPr>
        <sz val="10"/>
        <rFont val="Noto Sans CJK SC"/>
        <family val="2"/>
      </rPr>
      <t xml:space="preserve">）</t>
    </r>
  </si>
  <si>
    <t xml:space="preserve">公开网站</t>
  </si>
  <si>
    <t xml:space="preserve">C.1</t>
  </si>
  <si>
    <r>
      <rPr>
        <sz val="10"/>
        <rFont val="Arial"/>
        <family val="0"/>
        <charset val="1"/>
      </rPr>
      <t xml:space="preserve">Portfolio </t>
    </r>
    <r>
      <rPr>
        <sz val="10"/>
        <rFont val="Noto Sans CJK SC"/>
        <family val="2"/>
      </rPr>
      <t xml:space="preserve">层面：</t>
    </r>
    <r>
      <rPr>
        <sz val="10"/>
        <rFont val="Arial"/>
        <family val="0"/>
        <charset val="1"/>
      </rPr>
      <t xml:space="preserve">CR score </t>
    </r>
    <r>
      <rPr>
        <sz val="10"/>
        <rFont val="Noto Sans CJK SC"/>
        <family val="2"/>
      </rPr>
      <t xml:space="preserve">分布、</t>
    </r>
    <r>
      <rPr>
        <sz val="10"/>
        <rFont val="Arial"/>
        <family val="0"/>
        <charset val="1"/>
      </rPr>
      <t xml:space="preserve">CICRA </t>
    </r>
    <r>
      <rPr>
        <sz val="10"/>
        <rFont val="Noto Sans CJK SC"/>
        <family val="2"/>
      </rPr>
      <t xml:space="preserve">分布、</t>
    </r>
    <r>
      <rPr>
        <sz val="10"/>
        <rFont val="Arial"/>
        <family val="0"/>
        <charset val="1"/>
      </rPr>
      <t xml:space="preserve">single vs multi-country </t>
    </r>
    <r>
      <rPr>
        <sz val="10"/>
        <rFont val="Noto Sans CJK SC"/>
        <family val="2"/>
      </rPr>
      <t xml:space="preserve">数量、</t>
    </r>
    <r>
      <rPr>
        <sz val="10"/>
        <rFont val="Arial"/>
        <family val="0"/>
        <charset val="1"/>
      </rPr>
      <t xml:space="preserve">weighted average </t>
    </r>
    <r>
      <rPr>
        <sz val="10"/>
        <rFont val="Noto Sans CJK SC"/>
        <family val="2"/>
      </rPr>
      <t xml:space="preserve">边界区（</t>
    </r>
    <r>
      <rPr>
        <sz val="10"/>
        <rFont val="Arial"/>
        <family val="0"/>
        <charset val="1"/>
      </rPr>
      <t xml:space="preserve">x.3–x.7</t>
    </r>
    <r>
      <rPr>
        <sz val="10"/>
        <rFont val="Noto Sans CJK SC"/>
        <family val="2"/>
      </rPr>
      <t xml:space="preserve">）</t>
    </r>
    <r>
      <rPr>
        <sz val="10"/>
        <rFont val="Arial"/>
        <family val="0"/>
        <charset val="1"/>
      </rPr>
      <t xml:space="preserve">entity </t>
    </r>
    <r>
      <rPr>
        <sz val="10"/>
        <rFont val="Noto Sans CJK SC"/>
        <family val="2"/>
      </rPr>
      <t xml:space="preserve">数量</t>
    </r>
  </si>
  <si>
    <r>
      <rPr>
        <sz val="10"/>
        <rFont val="Arial"/>
        <family val="0"/>
        <charset val="1"/>
      </rPr>
      <t xml:space="preserve">5</t>
    </r>
    <r>
      <rPr>
        <sz val="10"/>
        <rFont val="Noto Sans CJK SC"/>
        <family val="2"/>
      </rPr>
      <t xml:space="preserve">、</t>
    </r>
    <r>
      <rPr>
        <sz val="10"/>
        <rFont val="Arial"/>
        <family val="0"/>
        <charset val="1"/>
      </rPr>
      <t xml:space="preserve">6</t>
    </r>
    <r>
      <rPr>
        <sz val="10"/>
        <rFont val="Noto Sans CJK SC"/>
        <family val="2"/>
      </rPr>
      <t xml:space="preserve">、</t>
    </r>
    <r>
      <rPr>
        <sz val="10"/>
        <rFont val="Arial"/>
        <family val="0"/>
        <charset val="1"/>
      </rPr>
      <t xml:space="preserve">7</t>
    </r>
  </si>
  <si>
    <t xml:space="preserve">待请求</t>
  </si>
  <si>
    <r>
      <rPr>
        <sz val="10"/>
        <rFont val="Arial"/>
        <family val="0"/>
        <charset val="1"/>
      </rPr>
      <t xml:space="preserve">AQV data request</t>
    </r>
    <r>
      <rPr>
        <sz val="10"/>
        <rFont val="Noto Sans CJK SC"/>
        <family val="2"/>
      </rPr>
      <t xml:space="preserve">（</t>
    </r>
    <r>
      <rPr>
        <sz val="10"/>
        <rFont val="Arial"/>
        <family val="0"/>
        <charset val="1"/>
      </rPr>
      <t xml:space="preserve">CCST / RatingsDirect </t>
    </r>
    <r>
      <rPr>
        <sz val="10"/>
        <rFont val="Noto Sans CJK SC"/>
        <family val="2"/>
      </rPr>
      <t xml:space="preserve">数据）</t>
    </r>
  </si>
  <si>
    <r>
      <rPr>
        <sz val="10"/>
        <rFont val="Noto Sans CJK SC"/>
        <family val="2"/>
      </rPr>
      <t xml:space="preserve">对应 </t>
    </r>
    <r>
      <rPr>
        <sz val="10"/>
        <rFont val="Arial"/>
        <family val="0"/>
        <charset val="1"/>
      </rPr>
      <t xml:space="preserve">plan </t>
    </r>
    <r>
      <rPr>
        <sz val="10"/>
        <rFont val="Noto Sans CJK SC"/>
        <family val="2"/>
      </rPr>
      <t xml:space="preserve">的 </t>
    </r>
    <r>
      <rPr>
        <sz val="10"/>
        <rFont val="Arial"/>
        <family val="0"/>
        <charset val="1"/>
      </rPr>
      <t xml:space="preserve">C.17</t>
    </r>
    <r>
      <rPr>
        <sz val="10"/>
        <rFont val="Noto Sans CJK SC"/>
        <family val="2"/>
      </rPr>
      <t xml:space="preserve">。</t>
    </r>
  </si>
  <si>
    <t xml:space="preserve">C.2</t>
  </si>
  <si>
    <r>
      <rPr>
        <sz val="10"/>
        <rFont val="Arial"/>
        <family val="0"/>
        <charset val="1"/>
      </rPr>
      <t xml:space="preserve">Weak-link</t>
    </r>
    <r>
      <rPr>
        <sz val="10"/>
        <rFont val="Noto Sans CJK SC"/>
        <family val="2"/>
      </rPr>
      <t xml:space="preserve">、</t>
    </r>
    <r>
      <rPr>
        <sz val="10"/>
        <rFont val="Arial"/>
        <family val="0"/>
        <charset val="1"/>
      </rPr>
      <t xml:space="preserve">para 45</t>
    </r>
    <r>
      <rPr>
        <sz val="10"/>
        <rFont val="Noto Sans CJK SC"/>
        <family val="2"/>
      </rPr>
      <t xml:space="preserve">、</t>
    </r>
    <r>
      <rPr>
        <sz val="10"/>
        <rFont val="Arial"/>
        <family val="0"/>
        <charset val="1"/>
      </rPr>
      <t xml:space="preserve">regional assessment</t>
    </r>
    <r>
      <rPr>
        <sz val="10"/>
        <rFont val="Noto Sans CJK SC"/>
        <family val="2"/>
      </rPr>
      <t xml:space="preserve">、估算（</t>
    </r>
    <r>
      <rPr>
        <sz val="10"/>
        <rFont val="Arial"/>
        <family val="0"/>
        <charset val="1"/>
      </rPr>
      <t xml:space="preserve">para 47</t>
    </r>
    <r>
      <rPr>
        <sz val="10"/>
        <rFont val="Noto Sans CJK SC"/>
        <family val="2"/>
      </rPr>
      <t xml:space="preserve">）的使用次数</t>
    </r>
  </si>
  <si>
    <r>
      <rPr>
        <sz val="10"/>
        <rFont val="Arial"/>
        <family val="0"/>
        <charset val="1"/>
      </rPr>
      <t xml:space="preserve">5</t>
    </r>
    <r>
      <rPr>
        <sz val="10"/>
        <rFont val="Noto Sans CJK SC"/>
        <family val="2"/>
      </rPr>
      <t xml:space="preserve">、</t>
    </r>
    <r>
      <rPr>
        <sz val="10"/>
        <rFont val="Arial"/>
        <family val="0"/>
        <charset val="1"/>
      </rPr>
      <t xml:space="preserve">6</t>
    </r>
  </si>
  <si>
    <t xml:space="preserve">AQV data request</t>
  </si>
  <si>
    <r>
      <rPr>
        <sz val="10"/>
        <rFont val="Noto Sans CJK SC"/>
        <family val="2"/>
      </rPr>
      <t xml:space="preserve">对应 </t>
    </r>
    <r>
      <rPr>
        <sz val="10"/>
        <rFont val="Arial"/>
        <family val="0"/>
        <charset val="1"/>
      </rPr>
      <t xml:space="preserve">C.18</t>
    </r>
    <r>
      <rPr>
        <sz val="10"/>
        <rFont val="Noto Sans CJK SC"/>
        <family val="2"/>
      </rPr>
      <t xml:space="preserve">。</t>
    </r>
  </si>
  <si>
    <t xml:space="preserve">C.3</t>
  </si>
  <si>
    <r>
      <rPr>
        <sz val="10"/>
        <rFont val="Noto Sans CJK SC"/>
        <family val="2"/>
      </rPr>
      <t xml:space="preserve">过去 </t>
    </r>
    <r>
      <rPr>
        <sz val="10"/>
        <rFont val="Arial"/>
        <family val="0"/>
        <charset val="1"/>
      </rPr>
      <t xml:space="preserve">13 </t>
    </r>
    <r>
      <rPr>
        <sz val="10"/>
        <rFont val="Noto Sans CJK SC"/>
        <family val="2"/>
      </rPr>
      <t xml:space="preserve">年由 </t>
    </r>
    <r>
      <rPr>
        <sz val="10"/>
        <rFont val="Arial"/>
        <family val="0"/>
        <charset val="1"/>
      </rPr>
      <t xml:space="preserve">country risk score </t>
    </r>
    <r>
      <rPr>
        <sz val="10"/>
        <rFont val="Noto Sans CJK SC"/>
        <family val="2"/>
      </rPr>
      <t xml:space="preserve">变动引发的 </t>
    </r>
    <r>
      <rPr>
        <sz val="10"/>
        <rFont val="Arial"/>
        <family val="0"/>
        <charset val="1"/>
      </rPr>
      <t xml:space="preserve">CICRA / rating </t>
    </r>
    <r>
      <rPr>
        <sz val="10"/>
        <rFont val="Noto Sans CJK SC"/>
        <family val="2"/>
      </rPr>
      <t xml:space="preserve">变动案例（</t>
    </r>
    <r>
      <rPr>
        <sz val="10"/>
        <rFont val="Arial"/>
        <family val="0"/>
        <charset val="1"/>
      </rPr>
      <t xml:space="preserve">Russia 2022</t>
    </r>
    <r>
      <rPr>
        <sz val="10"/>
        <rFont val="Noto Sans CJK SC"/>
        <family val="2"/>
      </rPr>
      <t xml:space="preserve">、</t>
    </r>
    <r>
      <rPr>
        <sz val="10"/>
        <rFont val="Arial"/>
        <family val="0"/>
        <charset val="1"/>
      </rPr>
      <t xml:space="preserve">Argentina</t>
    </r>
    <r>
      <rPr>
        <sz val="10"/>
        <rFont val="Noto Sans CJK SC"/>
        <family val="2"/>
      </rPr>
      <t xml:space="preserve">、</t>
    </r>
    <r>
      <rPr>
        <sz val="10"/>
        <rFont val="Arial"/>
        <family val="0"/>
        <charset val="1"/>
      </rPr>
      <t xml:space="preserve">Turkey </t>
    </r>
    <r>
      <rPr>
        <sz val="10"/>
        <rFont val="Noto Sans CJK SC"/>
        <family val="2"/>
      </rPr>
      <t xml:space="preserve">等）</t>
    </r>
  </si>
  <si>
    <r>
      <rPr>
        <sz val="10"/>
        <rFont val="Arial"/>
        <family val="0"/>
        <charset val="1"/>
      </rPr>
      <t xml:space="preserve">2</t>
    </r>
    <r>
      <rPr>
        <sz val="10"/>
        <rFont val="Noto Sans CJK SC"/>
        <family val="2"/>
      </rPr>
      <t xml:space="preserve">、</t>
    </r>
    <r>
      <rPr>
        <sz val="10"/>
        <rFont val="Arial"/>
        <family val="0"/>
        <charset val="1"/>
      </rPr>
      <t xml:space="preserve">6</t>
    </r>
    <r>
      <rPr>
        <sz val="10"/>
        <rFont val="Noto Sans CJK SC"/>
        <family val="2"/>
      </rPr>
      <t xml:space="preserve">、</t>
    </r>
    <r>
      <rPr>
        <sz val="10"/>
        <rFont val="Arial"/>
        <family val="0"/>
        <charset val="1"/>
      </rPr>
      <t xml:space="preserve">back-testing </t>
    </r>
    <r>
      <rPr>
        <sz val="10"/>
        <rFont val="Noto Sans CJK SC"/>
        <family val="2"/>
      </rPr>
      <t xml:space="preserve">提议</t>
    </r>
  </si>
  <si>
    <r>
      <rPr>
        <sz val="10"/>
        <rFont val="Arial"/>
        <family val="0"/>
        <charset val="1"/>
      </rPr>
      <t xml:space="preserve">AQV data request / </t>
    </r>
    <r>
      <rPr>
        <sz val="10"/>
        <rFont val="Noto Sans CJK SC"/>
        <family val="2"/>
      </rPr>
      <t xml:space="preserve">自行整理</t>
    </r>
  </si>
  <si>
    <r>
      <rPr>
        <sz val="10"/>
        <rFont val="Noto Sans CJK SC"/>
        <family val="2"/>
      </rPr>
      <t xml:space="preserve">对应 </t>
    </r>
    <r>
      <rPr>
        <sz val="10"/>
        <rFont val="Arial"/>
        <family val="0"/>
        <charset val="1"/>
      </rPr>
      <t xml:space="preserve">C.19</t>
    </r>
    <r>
      <rPr>
        <sz val="10"/>
        <rFont val="Noto Sans CJK SC"/>
        <family val="2"/>
      </rPr>
      <t xml:space="preserve">；可作为向 </t>
    </r>
    <r>
      <rPr>
        <sz val="10"/>
        <rFont val="Arial"/>
        <family val="0"/>
        <charset val="1"/>
      </rPr>
      <t xml:space="preserve">squad </t>
    </r>
    <r>
      <rPr>
        <sz val="10"/>
        <rFont val="Noto Sans CJK SC"/>
        <family val="2"/>
      </rPr>
      <t xml:space="preserve">提议的 </t>
    </r>
    <r>
      <rPr>
        <sz val="10"/>
        <rFont val="Arial"/>
        <family val="0"/>
        <charset val="1"/>
      </rPr>
      <t xml:space="preserve">back-testing cases</t>
    </r>
    <r>
      <rPr>
        <sz val="10"/>
        <rFont val="Noto Sans CJK SC"/>
        <family val="2"/>
      </rPr>
      <t xml:space="preserve">。</t>
    </r>
  </si>
  <si>
    <t xml:space="preserve">依据文件</t>
  </si>
  <si>
    <r>
      <rPr>
        <i val="true"/>
        <sz val="9"/>
        <color rgb="FF555555"/>
        <rFont val="Noto Sans CJK SC"/>
        <family val="2"/>
      </rPr>
      <t xml:space="preserve">路径相对于 </t>
    </r>
    <r>
      <rPr>
        <i val="true"/>
        <sz val="9"/>
        <color rgb="FF555555"/>
        <rFont val="Arial"/>
        <family val="0"/>
        <charset val="1"/>
      </rPr>
      <t xml:space="preserve">Criteria Explainer </t>
    </r>
    <r>
      <rPr>
        <i val="true"/>
        <sz val="9"/>
        <color rgb="FF555555"/>
        <rFont val="Noto Sans CJK SC"/>
        <family val="2"/>
      </rPr>
      <t xml:space="preserve">文件夹。</t>
    </r>
  </si>
  <si>
    <t xml:space="preserve">文件</t>
  </si>
  <si>
    <t xml:space="preserve">用途</t>
  </si>
  <si>
    <t xml:space="preserve">路径</t>
  </si>
  <si>
    <r>
      <rPr>
        <sz val="10"/>
        <rFont val="Arial"/>
        <family val="0"/>
        <charset val="1"/>
      </rPr>
      <t xml:space="preserve">Country_Risk_Simplification.pptx</t>
    </r>
    <r>
      <rPr>
        <sz val="10"/>
        <rFont val="Noto Sans CJK SC"/>
        <family val="2"/>
      </rPr>
      <t xml:space="preserve">（</t>
    </r>
    <r>
      <rPr>
        <sz val="10"/>
        <rFont val="Arial"/>
        <family val="0"/>
        <charset val="1"/>
      </rPr>
      <t xml:space="preserve">Sept 2026</t>
    </r>
    <r>
      <rPr>
        <sz val="10"/>
        <rFont val="Noto Sans CJK SC"/>
        <family val="2"/>
      </rPr>
      <t xml:space="preserve">，</t>
    </r>
    <r>
      <rPr>
        <sz val="10"/>
        <rFont val="Arial"/>
        <family val="0"/>
        <charset val="1"/>
      </rPr>
      <t xml:space="preserve">squad</t>
    </r>
    <r>
      <rPr>
        <sz val="10"/>
        <rFont val="Noto Sans CJK SC"/>
        <family val="2"/>
      </rPr>
      <t xml:space="preserve">）</t>
    </r>
  </si>
  <si>
    <r>
      <rPr>
        <sz val="10"/>
        <rFont val="Arial"/>
        <family val="0"/>
        <charset val="1"/>
      </rPr>
      <t xml:space="preserve">#1 proposal </t>
    </r>
    <r>
      <rPr>
        <sz val="10"/>
        <rFont val="Noto Sans CJK SC"/>
        <family val="2"/>
      </rPr>
      <t xml:space="preserve">的唯一来源；</t>
    </r>
    <r>
      <rPr>
        <sz val="10"/>
        <rFont val="Arial"/>
        <family val="0"/>
        <charset val="1"/>
      </rPr>
      <t xml:space="preserve">4 </t>
    </r>
    <r>
      <rPr>
        <sz val="10"/>
        <rFont val="Noto Sans CJK SC"/>
        <family val="2"/>
      </rPr>
      <t xml:space="preserve">张 </t>
    </r>
    <r>
      <rPr>
        <sz val="10"/>
        <rFont val="Arial"/>
        <family val="0"/>
        <charset val="1"/>
      </rPr>
      <t xml:space="preserve">slide</t>
    </r>
    <r>
      <rPr>
        <sz val="10"/>
        <rFont val="Noto Sans CJK SC"/>
        <family val="2"/>
      </rPr>
      <t xml:space="preserve">。</t>
    </r>
  </si>
  <si>
    <t xml:space="preserve">Criteri Projects/Corporate Methodology Revision/Changes1_CountryRisk/</t>
  </si>
  <si>
    <r>
      <rPr>
        <sz val="10"/>
        <rFont val="Arial"/>
        <family val="0"/>
        <charset val="1"/>
      </rPr>
      <t xml:space="preserve">Corporate_Methodology_Slides_v2.md</t>
    </r>
    <r>
      <rPr>
        <sz val="10"/>
        <rFont val="Noto Sans CJK SC"/>
        <family val="2"/>
      </rPr>
      <t xml:space="preserve">（</t>
    </r>
    <r>
      <rPr>
        <sz val="10"/>
        <rFont val="Arial"/>
        <family val="0"/>
        <charset val="1"/>
      </rPr>
      <t xml:space="preserve">July 2026 deck </t>
    </r>
    <r>
      <rPr>
        <sz val="10"/>
        <rFont val="Noto Sans CJK SC"/>
        <family val="2"/>
      </rPr>
      <t xml:space="preserve">转录）</t>
    </r>
  </si>
  <si>
    <r>
      <rPr>
        <sz val="10"/>
        <rFont val="Arial"/>
        <family val="0"/>
        <charset val="1"/>
      </rPr>
      <t xml:space="preserve">Slide 6 legend</t>
    </r>
    <r>
      <rPr>
        <sz val="10"/>
        <rFont val="Noto Sans CJK SC"/>
        <family val="2"/>
      </rPr>
      <t xml:space="preserve">；</t>
    </r>
    <r>
      <rPr>
        <sz val="10"/>
        <rFont val="Arial"/>
        <family val="0"/>
        <charset val="1"/>
      </rPr>
      <t xml:space="preserve">Slide 11–12 country risk</t>
    </r>
    <r>
      <rPr>
        <sz val="10"/>
        <rFont val="Noto Sans CJK SC"/>
        <family val="2"/>
      </rPr>
      <t xml:space="preserve">（旧版 </t>
    </r>
    <r>
      <rPr>
        <sz val="10"/>
        <rFont val="Arial"/>
        <family val="0"/>
        <charset val="1"/>
      </rPr>
      <t xml:space="preserve">±1 </t>
    </r>
    <r>
      <rPr>
        <sz val="10"/>
        <rFont val="Noto Sans CJK SC"/>
        <family val="2"/>
      </rPr>
      <t xml:space="preserve">表述）。</t>
    </r>
  </si>
  <si>
    <t xml:space="preserve">Criteri Projects/Corporate Methodology Revision/</t>
  </si>
  <si>
    <t xml:space="preserve">CP-72_AQV_Working_Doc_Transcription.docx</t>
  </si>
  <si>
    <r>
      <rPr>
        <sz val="10"/>
        <rFont val="Arial"/>
        <family val="0"/>
        <charset val="1"/>
      </rPr>
      <t xml:space="preserve">§2 validation tests </t>
    </r>
    <r>
      <rPr>
        <sz val="10"/>
        <rFont val="Noto Sans CJK SC"/>
        <family val="2"/>
      </rPr>
      <t xml:space="preserve">的 </t>
    </r>
    <r>
      <rPr>
        <sz val="10"/>
        <rFont val="Arial"/>
        <family val="0"/>
        <charset val="1"/>
      </rPr>
      <t xml:space="preserve">8 </t>
    </r>
    <r>
      <rPr>
        <sz val="10"/>
        <rFont val="Noto Sans CJK SC"/>
        <family val="2"/>
      </rPr>
      <t xml:space="preserve">个 </t>
    </r>
    <r>
      <rPr>
        <sz val="10"/>
        <rFont val="Arial"/>
        <family val="0"/>
        <charset val="1"/>
      </rPr>
      <t xml:space="preserve">dimensions</t>
    </r>
    <r>
      <rPr>
        <sz val="10"/>
        <rFont val="Noto Sans CJK SC"/>
        <family val="2"/>
      </rPr>
      <t xml:space="preserve">；</t>
    </r>
    <r>
      <rPr>
        <sz val="10"/>
        <rFont val="Arial"/>
        <family val="0"/>
        <charset val="1"/>
      </rPr>
      <t xml:space="preserve">§A Supervisory feedback</t>
    </r>
    <r>
      <rPr>
        <sz val="10"/>
        <rFont val="Noto Sans CJK SC"/>
        <family val="2"/>
      </rPr>
      <t xml:space="preserve">；</t>
    </r>
    <r>
      <rPr>
        <sz val="10"/>
        <rFont val="Arial"/>
        <family val="0"/>
        <charset val="1"/>
      </rPr>
      <t xml:space="preserve">§3 SQE</t>
    </r>
    <r>
      <rPr>
        <sz val="10"/>
        <rFont val="Noto Sans CJK SC"/>
        <family val="2"/>
      </rPr>
      <t xml:space="preserve">。</t>
    </r>
  </si>
  <si>
    <t xml:space="preserve">CP-72_Criteria_Validation_Report_Transcription.md</t>
  </si>
  <si>
    <r>
      <rPr>
        <sz val="10"/>
        <rFont val="Arial"/>
        <family val="0"/>
        <charset val="1"/>
      </rPr>
      <t xml:space="preserve">CVR template </t>
    </r>
    <r>
      <rPr>
        <sz val="10"/>
        <rFont val="Noto Sans CJK SC"/>
        <family val="2"/>
      </rPr>
      <t xml:space="preserve">各 </t>
    </r>
    <r>
      <rPr>
        <sz val="10"/>
        <rFont val="Arial"/>
        <family val="0"/>
        <charset val="1"/>
      </rPr>
      <t xml:space="preserve">section </t>
    </r>
    <r>
      <rPr>
        <sz val="10"/>
        <rFont val="Noto Sans CJK SC"/>
        <family val="2"/>
      </rPr>
      <t xml:space="preserve">的要求；</t>
    </r>
    <r>
      <rPr>
        <sz val="10"/>
        <rFont val="Arial"/>
        <family val="0"/>
        <charset val="1"/>
      </rPr>
      <t xml:space="preserve">§7 </t>
    </r>
    <r>
      <rPr>
        <sz val="10"/>
        <rFont val="Noto Sans CJK SC"/>
        <family val="2"/>
      </rPr>
      <t xml:space="preserve">已有 </t>
    </r>
    <r>
      <rPr>
        <sz val="10"/>
        <rFont val="Arial"/>
        <family val="0"/>
        <charset val="1"/>
      </rPr>
      <t xml:space="preserve">Test 1/2</t>
    </r>
    <r>
      <rPr>
        <sz val="10"/>
        <rFont val="Noto Sans CJK SC"/>
        <family val="2"/>
      </rPr>
      <t xml:space="preserve">。</t>
    </r>
  </si>
  <si>
    <t xml:space="preserve">Criteri Projects/Corporate Methodology Revision/CriteriaValidationReport/</t>
  </si>
  <si>
    <t xml:space="preserve">CP_Project_Note.md</t>
  </si>
  <si>
    <r>
      <rPr>
        <sz val="10"/>
        <rFont val="Arial"/>
        <family val="0"/>
        <charset val="1"/>
      </rPr>
      <t xml:space="preserve">Gregoire </t>
    </r>
    <r>
      <rPr>
        <sz val="10"/>
        <rFont val="Noto Sans CJK SC"/>
        <family val="2"/>
      </rPr>
      <t xml:space="preserve">的 </t>
    </r>
    <r>
      <rPr>
        <sz val="10"/>
        <rFont val="Arial"/>
        <family val="0"/>
        <charset val="1"/>
      </rPr>
      <t xml:space="preserve">4 </t>
    </r>
    <r>
      <rPr>
        <sz val="10"/>
        <rFont val="Noto Sans CJK SC"/>
        <family val="2"/>
      </rPr>
      <t xml:space="preserve">步方法；</t>
    </r>
    <r>
      <rPr>
        <sz val="10"/>
        <rFont val="Arial"/>
        <family val="0"/>
        <charset val="1"/>
      </rPr>
      <t xml:space="preserve">Marc </t>
    </r>
    <r>
      <rPr>
        <sz val="10"/>
        <rFont val="Noto Sans CJK SC"/>
        <family val="2"/>
      </rPr>
      <t xml:space="preserve">的 </t>
    </r>
    <r>
      <rPr>
        <sz val="10"/>
        <rFont val="Arial"/>
        <family val="0"/>
        <charset val="1"/>
      </rPr>
      <t xml:space="preserve">6 </t>
    </r>
    <r>
      <rPr>
        <sz val="10"/>
        <rFont val="Noto Sans CJK SC"/>
        <family val="2"/>
      </rPr>
      <t xml:space="preserve">个问题。</t>
    </r>
  </si>
  <si>
    <r>
      <rPr>
        <sz val="10"/>
        <rFont val="Arial"/>
        <family val="0"/>
        <charset val="1"/>
      </rPr>
      <t xml:space="preserve">Criteria_Final_Validation_Report[_Part_2|_Part_3].docx</t>
    </r>
    <r>
      <rPr>
        <sz val="10"/>
        <rFont val="Noto Sans CJK SC"/>
        <family val="2"/>
      </rPr>
      <t xml:space="preserve">（</t>
    </r>
    <r>
      <rPr>
        <sz val="10"/>
        <rFont val="Arial"/>
        <family val="0"/>
        <charset val="1"/>
      </rPr>
      <t xml:space="preserve">CP-49</t>
    </r>
    <r>
      <rPr>
        <sz val="10"/>
        <rFont val="Noto Sans CJK SC"/>
        <family val="2"/>
      </rPr>
      <t xml:space="preserve">）</t>
    </r>
  </si>
  <si>
    <r>
      <rPr>
        <sz val="10"/>
        <rFont val="Noto Sans CJK SC"/>
        <family val="2"/>
      </rPr>
      <t xml:space="preserve">写法范式；</t>
    </r>
    <r>
      <rPr>
        <sz val="10"/>
        <rFont val="Arial"/>
        <family val="0"/>
        <charset val="1"/>
      </rPr>
      <t xml:space="preserve">§6.3.8 simplification </t>
    </r>
    <r>
      <rPr>
        <sz val="10"/>
        <rFont val="Noto Sans CJK SC"/>
        <family val="2"/>
      </rPr>
      <t xml:space="preserve">写法；</t>
    </r>
    <r>
      <rPr>
        <sz val="10"/>
        <rFont val="Arial"/>
        <family val="0"/>
        <charset val="1"/>
      </rPr>
      <t xml:space="preserve">§7.1 impact</t>
    </r>
    <r>
      <rPr>
        <sz val="10"/>
        <rFont val="Noto Sans CJK SC"/>
        <family val="2"/>
      </rPr>
      <t xml:space="preserve">；</t>
    </r>
    <r>
      <rPr>
        <sz val="10"/>
        <rFont val="Arial"/>
        <family val="0"/>
        <charset val="1"/>
      </rPr>
      <t xml:space="preserve">Appendix III AJ</t>
    </r>
    <r>
      <rPr>
        <sz val="10"/>
        <rFont val="Noto Sans CJK SC"/>
        <family val="2"/>
      </rPr>
      <t xml:space="preserve">。</t>
    </r>
  </si>
  <si>
    <t xml:space="preserve">Criteri Projects/CVRs/CP49 Covered Bonds/</t>
  </si>
  <si>
    <r>
      <rPr>
        <sz val="10"/>
        <rFont val="Arial"/>
        <family val="0"/>
        <charset val="1"/>
      </rPr>
      <t xml:space="preserve">Transcription[_Part2|_Part3].docx</t>
    </r>
    <r>
      <rPr>
        <sz val="10"/>
        <rFont val="Noto Sans CJK SC"/>
        <family val="2"/>
      </rPr>
      <t xml:space="preserve">（</t>
    </r>
    <r>
      <rPr>
        <sz val="10"/>
        <rFont val="Arial"/>
        <family val="0"/>
        <charset val="1"/>
      </rPr>
      <t xml:space="preserve">CP-64</t>
    </r>
    <r>
      <rPr>
        <sz val="10"/>
        <rFont val="Noto Sans CJK SC"/>
        <family val="2"/>
      </rPr>
      <t xml:space="preserve">，</t>
    </r>
    <r>
      <rPr>
        <sz val="10"/>
        <rFont val="Arial"/>
        <family val="0"/>
        <charset val="1"/>
      </rPr>
      <t xml:space="preserve">Dima</t>
    </r>
    <r>
      <rPr>
        <sz val="10"/>
        <rFont val="Noto Sans CJK SC"/>
        <family val="2"/>
      </rPr>
      <t xml:space="preserve">）</t>
    </r>
  </si>
  <si>
    <r>
      <rPr>
        <sz val="10"/>
        <rFont val="Noto Sans CJK SC"/>
        <family val="2"/>
      </rPr>
      <t xml:space="preserve">写法范式；</t>
    </r>
    <r>
      <rPr>
        <sz val="10"/>
        <rFont val="Arial"/>
        <family val="0"/>
        <charset val="1"/>
      </rPr>
      <t xml:space="preserve">Test #4 sensitivity</t>
    </r>
    <r>
      <rPr>
        <sz val="10"/>
        <rFont val="Noto Sans CJK SC"/>
        <family val="2"/>
      </rPr>
      <t xml:space="preserve">；</t>
    </r>
    <r>
      <rPr>
        <sz val="10"/>
        <rFont val="Arial"/>
        <family val="0"/>
        <charset val="1"/>
      </rPr>
      <t xml:space="preserve">Test #6 consistency</t>
    </r>
    <r>
      <rPr>
        <sz val="10"/>
        <rFont val="Noto Sans CJK SC"/>
        <family val="2"/>
      </rPr>
      <t xml:space="preserve">；</t>
    </r>
    <r>
      <rPr>
        <sz val="10"/>
        <rFont val="Arial"/>
        <family val="0"/>
        <charset val="1"/>
      </rPr>
      <t xml:space="preserve">§8.1/8.2</t>
    </r>
    <r>
      <rPr>
        <sz val="10"/>
        <rFont val="Noto Sans CJK SC"/>
        <family val="2"/>
      </rPr>
      <t xml:space="preserve">；</t>
    </r>
    <r>
      <rPr>
        <sz val="10"/>
        <rFont val="Arial"/>
        <family val="0"/>
        <charset val="1"/>
      </rPr>
      <t xml:space="preserve">Appendix 4 AJ</t>
    </r>
    <r>
      <rPr>
        <sz val="10"/>
        <rFont val="Noto Sans CJK SC"/>
        <family val="2"/>
      </rPr>
      <t xml:space="preserve">；</t>
    </r>
    <r>
      <rPr>
        <sz val="10"/>
        <rFont val="Arial"/>
        <family val="0"/>
        <charset val="1"/>
      </rPr>
      <t xml:space="preserve">Comments 12–13</t>
    </r>
    <r>
      <rPr>
        <sz val="10"/>
        <rFont val="Noto Sans CJK SC"/>
        <family val="2"/>
      </rPr>
      <t xml:space="preserve">。</t>
    </r>
  </si>
  <si>
    <t xml:space="preserve">Criteri Projects/CVRs/CP64 RAS for SF/</t>
  </si>
  <si>
    <t xml:space="preserve">AQV_Criteria_Validation_Operational_Guidelines.md</t>
  </si>
  <si>
    <r>
      <rPr>
        <sz val="10"/>
        <rFont val="Arial"/>
        <family val="0"/>
        <charset val="1"/>
      </rPr>
      <t xml:space="preserve">Ground Rules</t>
    </r>
    <r>
      <rPr>
        <sz val="10"/>
        <rFont val="Noto Sans CJK SC"/>
        <family val="2"/>
      </rPr>
      <t xml:space="preserve">（</t>
    </r>
    <r>
      <rPr>
        <sz val="10"/>
        <rFont val="Arial"/>
        <family val="0"/>
        <charset val="1"/>
      </rPr>
      <t xml:space="preserve">D</t>
    </r>
    <r>
      <rPr>
        <sz val="10"/>
        <rFont val="Noto Sans CJK SC"/>
        <family val="2"/>
      </rPr>
      <t xml:space="preserve">、</t>
    </r>
    <r>
      <rPr>
        <sz val="10"/>
        <rFont val="Arial"/>
        <family val="0"/>
        <charset val="1"/>
      </rPr>
      <t xml:space="preserve">E</t>
    </r>
    <r>
      <rPr>
        <sz val="10"/>
        <rFont val="Noto Sans CJK SC"/>
        <family val="2"/>
      </rPr>
      <t xml:space="preserve">、</t>
    </r>
    <r>
      <rPr>
        <sz val="10"/>
        <rFont val="Arial"/>
        <family val="0"/>
        <charset val="1"/>
      </rPr>
      <t xml:space="preserve">G</t>
    </r>
    <r>
      <rPr>
        <sz val="10"/>
        <rFont val="Noto Sans CJK SC"/>
        <family val="2"/>
      </rPr>
      <t xml:space="preserve">）；</t>
    </r>
    <r>
      <rPr>
        <sz val="10"/>
        <rFont val="Arial"/>
        <family val="0"/>
        <charset val="1"/>
      </rPr>
      <t xml:space="preserve">timeline</t>
    </r>
    <r>
      <rPr>
        <sz val="10"/>
        <rFont val="Noto Sans CJK SC"/>
        <family val="2"/>
      </rPr>
      <t xml:space="preserve">；</t>
    </r>
    <r>
      <rPr>
        <sz val="10"/>
        <rFont val="Arial"/>
        <family val="0"/>
        <charset val="1"/>
      </rPr>
      <t xml:space="preserve">AJ scale</t>
    </r>
    <r>
      <rPr>
        <sz val="10"/>
        <rFont val="Noto Sans CJK SC"/>
        <family val="2"/>
      </rPr>
      <t xml:space="preserve">。</t>
    </r>
  </si>
  <si>
    <t xml:space="preserve">Criteria Explainer/</t>
  </si>
  <si>
    <t xml:space="preserve">corp_2024-01-07_corporate-methodology.pdf</t>
  </si>
  <si>
    <r>
      <rPr>
        <sz val="10"/>
        <rFont val="Noto Sans CJK SC"/>
        <family val="2"/>
      </rPr>
      <t xml:space="preserve">现行 </t>
    </r>
    <r>
      <rPr>
        <sz val="10"/>
        <rFont val="Arial"/>
        <family val="0"/>
        <charset val="1"/>
      </rPr>
      <t xml:space="preserve">country risk </t>
    </r>
    <r>
      <rPr>
        <sz val="10"/>
        <rFont val="Noto Sans CJK SC"/>
        <family val="2"/>
      </rPr>
      <t xml:space="preserve">段落与 </t>
    </r>
    <r>
      <rPr>
        <sz val="10"/>
        <rFont val="Arial"/>
        <family val="0"/>
        <charset val="1"/>
      </rPr>
      <t xml:space="preserve">Tables 1/2/3/6</t>
    </r>
    <r>
      <rPr>
        <sz val="10"/>
        <rFont val="Noto Sans CJK SC"/>
        <family val="2"/>
      </rPr>
      <t xml:space="preserve">。</t>
    </r>
  </si>
  <si>
    <t xml:space="preserve">corp_2025-07-07_sector-specific-corporate-methodology.pdf</t>
  </si>
  <si>
    <r>
      <rPr>
        <sz val="10"/>
        <rFont val="Arial"/>
        <family val="0"/>
        <charset val="1"/>
      </rPr>
      <t xml:space="preserve">Sector </t>
    </r>
    <r>
      <rPr>
        <sz val="10"/>
        <rFont val="Noto Sans CJK SC"/>
        <family val="2"/>
      </rPr>
      <t xml:space="preserve">门槛。</t>
    </r>
  </si>
  <si>
    <t xml:space="preserve">gen_2013-11-19_country-risk-assessment-methodology-and-assumptions.pdf</t>
  </si>
  <si>
    <r>
      <rPr>
        <sz val="10"/>
        <rFont val="Arial"/>
        <family val="0"/>
        <charset val="1"/>
      </rPr>
      <t xml:space="preserve">para 16</t>
    </r>
    <r>
      <rPr>
        <sz val="10"/>
        <rFont val="Noto Sans CJK SC"/>
        <family val="2"/>
      </rPr>
      <t xml:space="preserve">。</t>
    </r>
  </si>
  <si>
    <t xml:space="preserve">gen_2013-11-19_ratings-above-the-sovereign-corporate-and-government-ratings.pdf</t>
  </si>
  <si>
    <r>
      <rPr>
        <sz val="10"/>
        <rFont val="Arial"/>
        <family val="0"/>
        <charset val="1"/>
      </rPr>
      <t xml:space="preserve">paras 55–58</t>
    </r>
    <r>
      <rPr>
        <sz val="10"/>
        <rFont val="Noto Sans CJK SC"/>
        <family val="2"/>
      </rPr>
      <t xml:space="preserve">。</t>
    </r>
  </si>
  <si>
    <t xml:space="preserve">fi_2021-12-09_financial-institutions-rating-methodology.pdf</t>
  </si>
  <si>
    <r>
      <rPr>
        <sz val="10"/>
        <rFont val="Arial"/>
        <family val="0"/>
        <charset val="1"/>
      </rPr>
      <t xml:space="preserve">paras 34–36</t>
    </r>
    <r>
      <rPr>
        <sz val="10"/>
        <rFont val="Noto Sans CJK SC"/>
        <family val="2"/>
      </rPr>
      <t xml:space="preserve">。</t>
    </r>
  </si>
  <si>
    <t xml:space="preserve">criteria-library/03_financial_institutions/</t>
  </si>
  <si>
    <r>
      <rPr>
        <sz val="10"/>
        <rFont val="Arial"/>
        <family val="0"/>
        <charset val="1"/>
      </rPr>
      <t xml:space="preserve">corp_2015-12-01 IHC</t>
    </r>
    <r>
      <rPr>
        <sz val="10"/>
        <rFont val="Noto Sans CJK SC"/>
        <family val="2"/>
      </rPr>
      <t xml:space="preserve">；</t>
    </r>
    <r>
      <rPr>
        <sz val="10"/>
        <rFont val="Arial"/>
        <family val="0"/>
        <charset val="1"/>
      </rPr>
      <t xml:space="preserve">corp_2016-03-21 Project Developers</t>
    </r>
    <r>
      <rPr>
        <sz val="10"/>
        <rFont val="Noto Sans CJK SC"/>
        <family val="2"/>
      </rPr>
      <t xml:space="preserve">；</t>
    </r>
    <r>
      <rPr>
        <sz val="10"/>
        <rFont val="Arial"/>
        <family val="0"/>
        <charset val="1"/>
      </rPr>
      <t xml:space="preserve">corp_2017-01-19 Commodities Trading</t>
    </r>
    <r>
      <rPr>
        <sz val="10"/>
        <rFont val="Noto Sans CJK SC"/>
        <family val="2"/>
      </rPr>
      <t xml:space="preserve">；</t>
    </r>
    <r>
      <rPr>
        <sz val="10"/>
        <rFont val="Arial"/>
        <family val="0"/>
        <charset val="1"/>
      </rPr>
      <t xml:space="preserve">corp_2018-02-26 Real Estate KCF</t>
    </r>
  </si>
  <si>
    <r>
      <rPr>
        <sz val="10"/>
        <rFont val="Noto Sans CJK SC"/>
        <family val="2"/>
      </rPr>
      <t xml:space="preserve">跨 </t>
    </r>
    <r>
      <rPr>
        <sz val="10"/>
        <rFont val="Arial"/>
        <family val="0"/>
        <charset val="1"/>
      </rPr>
      <t xml:space="preserve">criteria </t>
    </r>
    <r>
      <rPr>
        <sz val="10"/>
        <rFont val="Noto Sans CJK SC"/>
        <family val="2"/>
      </rPr>
      <t xml:space="preserve">引用抽查。</t>
    </r>
  </si>
  <si>
    <t xml:space="preserve">Change1_CountryRisk_Review_Plan.md</t>
  </si>
  <si>
    <r>
      <rPr>
        <sz val="10"/>
        <rFont val="Arial"/>
        <family val="0"/>
        <charset val="1"/>
      </rPr>
      <t xml:space="preserve">12 </t>
    </r>
    <r>
      <rPr>
        <sz val="10"/>
        <rFont val="Noto Sans CJK SC"/>
        <family val="2"/>
      </rPr>
      <t xml:space="preserve">题清单、分工、决定记录。</t>
    </r>
  </si>
</sst>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Noto Sans CJK SC"/>
      <family val="2"/>
    </font>
    <font>
      <i val="true"/>
      <sz val="9"/>
      <color rgb="FF555555"/>
      <name val="Arial"/>
      <family val="0"/>
      <charset val="1"/>
    </font>
    <font>
      <b val="true"/>
      <sz val="10"/>
      <name val="Arial"/>
      <family val="0"/>
      <charset val="1"/>
    </font>
    <font>
      <sz val="10"/>
      <name val="Noto Sans CJK SC"/>
      <family val="2"/>
    </font>
    <font>
      <sz val="10"/>
      <name val="Arial"/>
      <family val="0"/>
      <charset val="1"/>
    </font>
    <font>
      <b val="true"/>
      <sz val="10"/>
      <name val="Noto Sans CJK SC"/>
      <family val="2"/>
    </font>
    <font>
      <b val="true"/>
      <sz val="13"/>
      <name val="Noto Sans CJK SC"/>
      <family val="2"/>
    </font>
    <font>
      <b val="true"/>
      <sz val="10"/>
      <color rgb="FFFFFFFF"/>
      <name val="Noto Sans CJK SC"/>
      <family val="2"/>
    </font>
    <font>
      <b val="true"/>
      <sz val="10"/>
      <color rgb="FFFFFFFF"/>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5"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15" hidden="false" customHeight="false" outlineLevel="0" collapsed="false">
      <c r="A13" s="3" t="s">
        <v>20</v>
      </c>
      <c r="B13" s="4" t="s">
        <v>21</v>
      </c>
    </row>
    <row r="14" customFormat="false" ht="15" hidden="false" customHeight="false" outlineLevel="0" collapsed="false">
      <c r="A14" s="3" t="s">
        <v>22</v>
      </c>
      <c r="B14" s="4" t="s">
        <v>23</v>
      </c>
    </row>
    <row r="15" customFormat="false" ht="15" hidden="false" customHeight="false" outlineLevel="0" collapsed="false">
      <c r="A15" s="3" t="s">
        <v>24</v>
      </c>
      <c r="B15" s="4" t="s">
        <v>25</v>
      </c>
    </row>
    <row r="16" customFormat="false" ht="15" hidden="false" customHeight="false" outlineLevel="0" collapsed="false">
      <c r="A16" s="6"/>
      <c r="B16" s="4"/>
    </row>
    <row r="17" customFormat="false" ht="15" hidden="false" customHeight="false" outlineLevel="0" collapsed="false">
      <c r="A17" s="7" t="s">
        <v>26</v>
      </c>
      <c r="B17" s="4" t="s">
        <v>27</v>
      </c>
    </row>
    <row r="18" customFormat="false" ht="29.85" hidden="false" customHeight="false" outlineLevel="0" collapsed="false">
      <c r="A18" s="7" t="s">
        <v>28</v>
      </c>
      <c r="B18" s="4"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8"/>
    <col collapsed="false" customWidth="true" hidden="false" outlineLevel="0" max="4" min="4" style="0" width="26"/>
    <col collapsed="false" customWidth="true" hidden="false" outlineLevel="0" max="6" min="5" style="0" width="45"/>
    <col collapsed="false" customWidth="true" hidden="false" outlineLevel="0" max="7" min="7" style="0" width="70"/>
    <col collapsed="false" customWidth="true" hidden="false" outlineLevel="0" max="8" min="8" style="0" width="55"/>
    <col collapsed="false" customWidth="true" hidden="false" outlineLevel="0" max="9" min="9" style="0" width="16"/>
    <col collapsed="false" customWidth="true" hidden="false" outlineLevel="0" max="10" min="10" style="0" width="34"/>
    <col collapsed="false" customWidth="true" hidden="false" outlineLevel="0" max="11" min="11" style="0" width="16"/>
  </cols>
  <sheetData>
    <row r="1" customFormat="false" ht="20.1"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A4" s="8" t="s">
        <v>32</v>
      </c>
      <c r="B4" s="8" t="s">
        <v>33</v>
      </c>
      <c r="C4" s="9" t="s">
        <v>34</v>
      </c>
      <c r="D4" s="8" t="s">
        <v>35</v>
      </c>
      <c r="E4" s="8" t="s">
        <v>36</v>
      </c>
      <c r="F4" s="8" t="s">
        <v>37</v>
      </c>
      <c r="G4" s="8" t="s">
        <v>38</v>
      </c>
      <c r="H4" s="8" t="s">
        <v>39</v>
      </c>
      <c r="I4" s="8" t="s">
        <v>40</v>
      </c>
      <c r="J4" s="9" t="s">
        <v>41</v>
      </c>
      <c r="K4" s="8" t="s">
        <v>42</v>
      </c>
    </row>
    <row r="5" customFormat="false" ht="210" hidden="false" customHeight="true" outlineLevel="0" collapsed="false">
      <c r="A5" s="10" t="s">
        <v>43</v>
      </c>
      <c r="B5" s="10" t="s">
        <v>44</v>
      </c>
      <c r="C5" s="10" t="s">
        <v>45</v>
      </c>
      <c r="D5" s="10" t="s">
        <v>46</v>
      </c>
      <c r="E5" s="10" t="s">
        <v>47</v>
      </c>
      <c r="F5" s="10" t="s">
        <v>48</v>
      </c>
      <c r="G5" s="11" t="s">
        <v>49</v>
      </c>
      <c r="H5" s="10" t="s">
        <v>50</v>
      </c>
      <c r="I5" s="12" t="s">
        <v>51</v>
      </c>
      <c r="J5" s="10" t="s">
        <v>52</v>
      </c>
      <c r="K5" s="10" t="s">
        <v>6</v>
      </c>
    </row>
    <row r="6" customFormat="false" ht="210" hidden="false" customHeight="true" outlineLevel="0" collapsed="false">
      <c r="A6" s="10" t="s">
        <v>53</v>
      </c>
      <c r="B6" s="10" t="s">
        <v>54</v>
      </c>
      <c r="C6" s="10" t="s">
        <v>55</v>
      </c>
      <c r="D6" s="10" t="s">
        <v>56</v>
      </c>
      <c r="E6" s="10" t="s">
        <v>57</v>
      </c>
      <c r="F6" s="10" t="s">
        <v>58</v>
      </c>
      <c r="G6" s="11" t="s">
        <v>59</v>
      </c>
      <c r="H6" s="11" t="s">
        <v>60</v>
      </c>
      <c r="I6" s="12" t="s">
        <v>61</v>
      </c>
      <c r="J6" s="10" t="s">
        <v>62</v>
      </c>
      <c r="K6" s="10" t="s">
        <v>20</v>
      </c>
    </row>
    <row r="7" customFormat="false" ht="210" hidden="false" customHeight="true" outlineLevel="0" collapsed="false">
      <c r="A7" s="10" t="s">
        <v>63</v>
      </c>
      <c r="B7" s="10" t="s">
        <v>64</v>
      </c>
      <c r="C7" s="10" t="s">
        <v>65</v>
      </c>
      <c r="D7" s="10" t="s">
        <v>46</v>
      </c>
      <c r="E7" s="10" t="s">
        <v>66</v>
      </c>
      <c r="F7" s="10" t="s">
        <v>67</v>
      </c>
      <c r="G7" s="11" t="s">
        <v>68</v>
      </c>
      <c r="H7" s="11" t="s">
        <v>69</v>
      </c>
      <c r="I7" s="12" t="s">
        <v>70</v>
      </c>
      <c r="J7" s="10" t="s">
        <v>71</v>
      </c>
      <c r="K7" s="10" t="s">
        <v>8</v>
      </c>
    </row>
    <row r="8" customFormat="false" ht="210" hidden="false" customHeight="true" outlineLevel="0" collapsed="false">
      <c r="A8" s="10" t="s">
        <v>72</v>
      </c>
      <c r="B8" s="10" t="s">
        <v>73</v>
      </c>
      <c r="C8" s="10" t="s">
        <v>74</v>
      </c>
      <c r="D8" s="10" t="s">
        <v>46</v>
      </c>
      <c r="E8" s="10" t="s">
        <v>75</v>
      </c>
      <c r="F8" s="11" t="s">
        <v>76</v>
      </c>
      <c r="G8" s="10" t="s">
        <v>77</v>
      </c>
      <c r="H8" s="11" t="s">
        <v>78</v>
      </c>
      <c r="I8" s="12" t="s">
        <v>79</v>
      </c>
      <c r="J8" s="10" t="s">
        <v>80</v>
      </c>
      <c r="K8" s="10" t="s">
        <v>81</v>
      </c>
    </row>
    <row r="9" customFormat="false" ht="210" hidden="false" customHeight="true" outlineLevel="0" collapsed="false">
      <c r="A9" s="10" t="s">
        <v>82</v>
      </c>
      <c r="B9" s="10" t="s">
        <v>83</v>
      </c>
      <c r="C9" s="10" t="s">
        <v>84</v>
      </c>
      <c r="D9" s="11" t="s">
        <v>85</v>
      </c>
      <c r="E9" s="10" t="s">
        <v>86</v>
      </c>
      <c r="F9" s="11" t="s">
        <v>87</v>
      </c>
      <c r="G9" s="11" t="s">
        <v>88</v>
      </c>
      <c r="H9" s="11" t="s">
        <v>89</v>
      </c>
      <c r="I9" s="13" t="s">
        <v>90</v>
      </c>
      <c r="J9" s="10" t="s">
        <v>91</v>
      </c>
      <c r="K9" s="10" t="s">
        <v>18</v>
      </c>
    </row>
    <row r="10" customFormat="false" ht="210" hidden="false" customHeight="true" outlineLevel="0" collapsed="false">
      <c r="A10" s="10" t="s">
        <v>92</v>
      </c>
      <c r="B10" s="10" t="s">
        <v>93</v>
      </c>
      <c r="C10" s="10" t="s">
        <v>94</v>
      </c>
      <c r="D10" s="10" t="s">
        <v>95</v>
      </c>
      <c r="E10" s="10" t="s">
        <v>96</v>
      </c>
      <c r="F10" s="11" t="s">
        <v>97</v>
      </c>
      <c r="G10" s="11" t="s">
        <v>98</v>
      </c>
      <c r="H10" s="11" t="s">
        <v>99</v>
      </c>
      <c r="I10" s="12" t="s">
        <v>100</v>
      </c>
      <c r="J10" s="10" t="s">
        <v>101</v>
      </c>
      <c r="K10" s="10" t="s">
        <v>10</v>
      </c>
    </row>
    <row r="11" customFormat="false" ht="210" hidden="false" customHeight="true" outlineLevel="0" collapsed="false">
      <c r="A11" s="10" t="s">
        <v>102</v>
      </c>
      <c r="B11" s="10" t="s">
        <v>103</v>
      </c>
      <c r="C11" s="10" t="s">
        <v>104</v>
      </c>
      <c r="D11" s="10" t="s">
        <v>46</v>
      </c>
      <c r="E11" s="10" t="s">
        <v>105</v>
      </c>
      <c r="F11" s="10" t="s">
        <v>106</v>
      </c>
      <c r="G11" s="11" t="s">
        <v>107</v>
      </c>
      <c r="H11" s="11" t="s">
        <v>108</v>
      </c>
      <c r="I11" s="14" t="s">
        <v>109</v>
      </c>
      <c r="J11" s="10" t="s">
        <v>110</v>
      </c>
      <c r="K11" s="10" t="s">
        <v>12</v>
      </c>
    </row>
    <row r="12" customFormat="false" ht="210" hidden="false" customHeight="true" outlineLevel="0" collapsed="false">
      <c r="A12" s="10" t="s">
        <v>111</v>
      </c>
      <c r="B12" s="10" t="s">
        <v>112</v>
      </c>
      <c r="C12" s="10" t="s">
        <v>113</v>
      </c>
      <c r="D12" s="10" t="s">
        <v>46</v>
      </c>
      <c r="E12" s="10" t="s">
        <v>114</v>
      </c>
      <c r="F12" s="10" t="s">
        <v>115</v>
      </c>
      <c r="G12" s="11" t="s">
        <v>116</v>
      </c>
      <c r="H12" s="11" t="s">
        <v>117</v>
      </c>
      <c r="I12" s="12" t="s">
        <v>118</v>
      </c>
      <c r="J12" s="10" t="s">
        <v>119</v>
      </c>
      <c r="K12" s="10" t="s">
        <v>14</v>
      </c>
    </row>
    <row r="13" customFormat="false" ht="210" hidden="false" customHeight="true" outlineLevel="0" collapsed="false">
      <c r="A13" s="10" t="s">
        <v>120</v>
      </c>
      <c r="B13" s="10" t="s">
        <v>121</v>
      </c>
      <c r="C13" s="11" t="s">
        <v>122</v>
      </c>
      <c r="D13" s="10" t="s">
        <v>123</v>
      </c>
      <c r="E13" s="10" t="s">
        <v>124</v>
      </c>
      <c r="F13" s="10" t="s">
        <v>125</v>
      </c>
      <c r="G13" s="11" t="s">
        <v>126</v>
      </c>
      <c r="H13" s="11" t="s">
        <v>127</v>
      </c>
      <c r="I13" s="14" t="s">
        <v>128</v>
      </c>
      <c r="J13" s="10" t="s">
        <v>129</v>
      </c>
      <c r="K13" s="10" t="s">
        <v>16</v>
      </c>
    </row>
    <row r="14" customFormat="false" ht="210" hidden="false" customHeight="true" outlineLevel="0" collapsed="false">
      <c r="A14" s="10" t="s">
        <v>130</v>
      </c>
      <c r="B14" s="10" t="s">
        <v>131</v>
      </c>
      <c r="C14" s="10" t="s">
        <v>132</v>
      </c>
      <c r="D14" s="10" t="s">
        <v>133</v>
      </c>
      <c r="E14" s="10" t="s">
        <v>134</v>
      </c>
      <c r="F14" s="10" t="s">
        <v>135</v>
      </c>
      <c r="G14" s="11" t="s">
        <v>136</v>
      </c>
      <c r="H14" s="11" t="s">
        <v>137</v>
      </c>
      <c r="I14" s="13" t="s">
        <v>90</v>
      </c>
      <c r="J14" s="10" t="s">
        <v>138</v>
      </c>
      <c r="K14" s="10" t="s">
        <v>18</v>
      </c>
    </row>
    <row r="15" customFormat="false" ht="210" hidden="false" customHeight="true" outlineLevel="0" collapsed="false">
      <c r="A15" s="10" t="s">
        <v>139</v>
      </c>
      <c r="B15" s="10" t="s">
        <v>140</v>
      </c>
      <c r="C15" s="10" t="s">
        <v>141</v>
      </c>
      <c r="D15" s="10" t="s">
        <v>46</v>
      </c>
      <c r="E15" s="11" t="s">
        <v>142</v>
      </c>
      <c r="F15" s="11" t="s">
        <v>143</v>
      </c>
      <c r="G15" s="11" t="s">
        <v>144</v>
      </c>
      <c r="H15" s="11" t="s">
        <v>145</v>
      </c>
      <c r="I15" s="12" t="s">
        <v>146</v>
      </c>
      <c r="J15" s="10" t="s">
        <v>147</v>
      </c>
      <c r="K15" s="10" t="s">
        <v>20</v>
      </c>
    </row>
    <row r="16" customFormat="false" ht="210" hidden="false" customHeight="true" outlineLevel="0" collapsed="false">
      <c r="A16" s="10" t="s">
        <v>148</v>
      </c>
      <c r="B16" s="10" t="s">
        <v>149</v>
      </c>
      <c r="C16" s="11" t="s">
        <v>150</v>
      </c>
      <c r="D16" s="10" t="s">
        <v>151</v>
      </c>
      <c r="E16" s="10" t="s">
        <v>152</v>
      </c>
      <c r="F16" s="10" t="s">
        <v>153</v>
      </c>
      <c r="G16" s="10" t="s">
        <v>154</v>
      </c>
      <c r="H16" s="10" t="s">
        <v>155</v>
      </c>
      <c r="I16" s="12" t="s">
        <v>79</v>
      </c>
      <c r="J16" s="10" t="s">
        <v>156</v>
      </c>
      <c r="K16" s="10"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26"/>
    <col collapsed="false" customWidth="true" hidden="false" outlineLevel="0" max="4" min="4" style="0" width="50"/>
    <col collapsed="false" customWidth="true" hidden="false" outlineLevel="0" max="5" min="5" style="0" width="45"/>
    <col collapsed="false" customWidth="true" hidden="false" outlineLevel="0" max="6" min="6" style="0" width="32"/>
    <col collapsed="false" customWidth="true" hidden="false" outlineLevel="0" max="7" min="7" style="0" width="55"/>
    <col collapsed="false" customWidth="true" hidden="false" outlineLevel="0" max="8" min="8" style="0" width="12"/>
  </cols>
  <sheetData>
    <row r="1" customFormat="false" ht="20.1" hidden="false" customHeight="false" outlineLevel="0" collapsed="false">
      <c r="A1" s="15" t="s">
        <v>157</v>
      </c>
    </row>
    <row r="2" customFormat="false" ht="15" hidden="false" customHeight="false" outlineLevel="0" collapsed="false">
      <c r="A2" s="2" t="s">
        <v>158</v>
      </c>
    </row>
    <row r="4" customFormat="false" ht="15" hidden="false" customHeight="false" outlineLevel="0" collapsed="false">
      <c r="A4" s="9" t="s">
        <v>159</v>
      </c>
      <c r="B4" s="8" t="s">
        <v>160</v>
      </c>
      <c r="C4" s="8" t="s">
        <v>161</v>
      </c>
      <c r="D4" s="8" t="s">
        <v>162</v>
      </c>
      <c r="E4" s="9" t="s">
        <v>163</v>
      </c>
      <c r="F4" s="8" t="s">
        <v>164</v>
      </c>
      <c r="G4" s="9" t="s">
        <v>165</v>
      </c>
      <c r="H4" s="8" t="s">
        <v>40</v>
      </c>
    </row>
    <row r="5" customFormat="false" ht="58.2" hidden="false" customHeight="false" outlineLevel="0" collapsed="false">
      <c r="A5" s="10" t="s">
        <v>43</v>
      </c>
      <c r="B5" s="10" t="s">
        <v>166</v>
      </c>
      <c r="C5" s="10" t="s">
        <v>167</v>
      </c>
      <c r="D5" s="11" t="s">
        <v>168</v>
      </c>
      <c r="E5" s="10" t="s">
        <v>169</v>
      </c>
      <c r="F5" s="10" t="s">
        <v>170</v>
      </c>
      <c r="G5" s="11" t="s">
        <v>171</v>
      </c>
      <c r="H5" s="13" t="s">
        <v>172</v>
      </c>
    </row>
    <row r="6" customFormat="false" ht="29.85" hidden="false" customHeight="false" outlineLevel="0" collapsed="false">
      <c r="A6" s="10" t="s">
        <v>53</v>
      </c>
      <c r="B6" s="10" t="s">
        <v>173</v>
      </c>
      <c r="C6" s="10" t="s">
        <v>174</v>
      </c>
      <c r="D6" s="10" t="s">
        <v>175</v>
      </c>
      <c r="E6" s="10" t="s">
        <v>176</v>
      </c>
      <c r="F6" s="10" t="s">
        <v>81</v>
      </c>
      <c r="G6" s="11" t="s">
        <v>177</v>
      </c>
      <c r="H6" s="14" t="s">
        <v>178</v>
      </c>
    </row>
    <row r="7" customFormat="false" ht="29.85" hidden="false" customHeight="false" outlineLevel="0" collapsed="false">
      <c r="A7" s="10" t="s">
        <v>63</v>
      </c>
      <c r="B7" s="10" t="s">
        <v>179</v>
      </c>
      <c r="C7" s="10" t="s">
        <v>180</v>
      </c>
      <c r="D7" s="11" t="s">
        <v>181</v>
      </c>
      <c r="E7" s="10" t="s">
        <v>182</v>
      </c>
      <c r="F7" s="10" t="s">
        <v>183</v>
      </c>
      <c r="G7" s="10" t="s">
        <v>184</v>
      </c>
      <c r="H7" s="14" t="s">
        <v>185</v>
      </c>
    </row>
    <row r="8" customFormat="false" ht="29.85" hidden="false" customHeight="false" outlineLevel="0" collapsed="false">
      <c r="A8" s="10" t="s">
        <v>72</v>
      </c>
      <c r="B8" s="10" t="s">
        <v>186</v>
      </c>
      <c r="C8" s="10" t="s">
        <v>187</v>
      </c>
      <c r="D8" s="10" t="s">
        <v>188</v>
      </c>
      <c r="E8" s="10" t="s">
        <v>189</v>
      </c>
      <c r="F8" s="10" t="s">
        <v>190</v>
      </c>
      <c r="G8" s="11" t="s">
        <v>191</v>
      </c>
      <c r="H8" s="14" t="s">
        <v>178</v>
      </c>
    </row>
    <row r="9" customFormat="false" ht="44" hidden="false" customHeight="false" outlineLevel="0" collapsed="false">
      <c r="A9" s="10" t="s">
        <v>82</v>
      </c>
      <c r="B9" s="10" t="s">
        <v>192</v>
      </c>
      <c r="C9" s="10" t="s">
        <v>193</v>
      </c>
      <c r="D9" s="10" t="s">
        <v>194</v>
      </c>
      <c r="E9" s="10" t="s">
        <v>195</v>
      </c>
      <c r="F9" s="10" t="s">
        <v>196</v>
      </c>
      <c r="G9" s="10" t="s">
        <v>197</v>
      </c>
      <c r="H9" s="13" t="s">
        <v>172</v>
      </c>
    </row>
    <row r="10" customFormat="false" ht="44" hidden="false" customHeight="false" outlineLevel="0" collapsed="false">
      <c r="A10" s="10" t="s">
        <v>92</v>
      </c>
      <c r="B10" s="10" t="s">
        <v>198</v>
      </c>
      <c r="C10" s="10" t="s">
        <v>199</v>
      </c>
      <c r="D10" s="11" t="s">
        <v>200</v>
      </c>
      <c r="E10" s="10" t="s">
        <v>201</v>
      </c>
      <c r="F10" s="10" t="s">
        <v>202</v>
      </c>
      <c r="G10" s="10" t="s">
        <v>203</v>
      </c>
      <c r="H10" s="13" t="s">
        <v>172</v>
      </c>
    </row>
    <row r="11" customFormat="false" ht="29.85" hidden="false" customHeight="false" outlineLevel="0" collapsed="false">
      <c r="A11" s="10" t="s">
        <v>102</v>
      </c>
      <c r="B11" s="10" t="s">
        <v>204</v>
      </c>
      <c r="C11" s="10" t="s">
        <v>205</v>
      </c>
      <c r="D11" s="11" t="s">
        <v>206</v>
      </c>
      <c r="E11" s="10" t="s">
        <v>207</v>
      </c>
      <c r="F11" s="10" t="s">
        <v>208</v>
      </c>
      <c r="G11" s="10" t="s">
        <v>209</v>
      </c>
      <c r="H11" s="13" t="s">
        <v>172</v>
      </c>
    </row>
    <row r="12" customFormat="false" ht="29.85" hidden="false" customHeight="false" outlineLevel="0" collapsed="false">
      <c r="A12" s="10" t="s">
        <v>111</v>
      </c>
      <c r="B12" s="10" t="s">
        <v>210</v>
      </c>
      <c r="C12" s="10" t="s">
        <v>211</v>
      </c>
      <c r="D12" s="11" t="s">
        <v>212</v>
      </c>
      <c r="E12" s="10" t="s">
        <v>213</v>
      </c>
      <c r="F12" s="10" t="s">
        <v>214</v>
      </c>
      <c r="G12" s="11" t="s">
        <v>215</v>
      </c>
      <c r="H12" s="13" t="s">
        <v>172</v>
      </c>
    </row>
    <row r="13" customFormat="false" ht="29.85" hidden="false" customHeight="false" outlineLevel="0" collapsed="false">
      <c r="A13" s="10" t="s">
        <v>120</v>
      </c>
      <c r="B13" s="10" t="s">
        <v>216</v>
      </c>
      <c r="C13" s="10" t="s">
        <v>217</v>
      </c>
      <c r="D13" s="11" t="s">
        <v>218</v>
      </c>
      <c r="E13" s="10" t="s">
        <v>219</v>
      </c>
      <c r="F13" s="10" t="s">
        <v>220</v>
      </c>
      <c r="G13" s="10" t="s">
        <v>221</v>
      </c>
      <c r="H13" s="13" t="s">
        <v>172</v>
      </c>
    </row>
    <row r="14" customFormat="false" ht="15" hidden="false" customHeight="false" outlineLevel="0" collapsed="false">
      <c r="A14" s="10" t="s">
        <v>130</v>
      </c>
      <c r="B14" s="10" t="s">
        <v>222</v>
      </c>
      <c r="C14" s="11" t="s">
        <v>223</v>
      </c>
      <c r="D14" s="11" t="s">
        <v>224</v>
      </c>
      <c r="E14" s="10" t="s">
        <v>225</v>
      </c>
      <c r="F14" s="10" t="s">
        <v>81</v>
      </c>
      <c r="G14" s="11" t="s">
        <v>226</v>
      </c>
      <c r="H14" s="13" t="s">
        <v>172</v>
      </c>
    </row>
    <row r="15" customFormat="false" ht="44" hidden="false" customHeight="false" outlineLevel="0" collapsed="false">
      <c r="A15" s="10" t="s">
        <v>139</v>
      </c>
      <c r="B15" s="10" t="s">
        <v>227</v>
      </c>
      <c r="C15" s="10" t="s">
        <v>228</v>
      </c>
      <c r="D15" s="11" t="s">
        <v>229</v>
      </c>
      <c r="E15" s="10" t="s">
        <v>230</v>
      </c>
      <c r="F15" s="10" t="s">
        <v>231</v>
      </c>
      <c r="G15" s="10" t="s">
        <v>232</v>
      </c>
      <c r="H15" s="14" t="s">
        <v>178</v>
      </c>
    </row>
    <row r="16" customFormat="false" ht="35.05" hidden="false" customHeight="false" outlineLevel="0" collapsed="false">
      <c r="A16" s="10" t="s">
        <v>148</v>
      </c>
      <c r="B16" s="10" t="s">
        <v>233</v>
      </c>
      <c r="C16" s="10" t="s">
        <v>234</v>
      </c>
      <c r="D16" s="10" t="s">
        <v>235</v>
      </c>
      <c r="E16" s="10" t="s">
        <v>236</v>
      </c>
      <c r="F16" s="10" t="s">
        <v>237</v>
      </c>
      <c r="G16" s="11" t="s">
        <v>238</v>
      </c>
      <c r="H16" s="14" t="s">
        <v>178</v>
      </c>
    </row>
    <row r="17" customFormat="false" ht="44" hidden="false" customHeight="false" outlineLevel="0" collapsed="false">
      <c r="A17" s="10" t="s">
        <v>239</v>
      </c>
      <c r="B17" s="10" t="s">
        <v>240</v>
      </c>
      <c r="C17" s="10" t="s">
        <v>241</v>
      </c>
      <c r="D17" s="11" t="s">
        <v>242</v>
      </c>
      <c r="E17" s="10" t="s">
        <v>243</v>
      </c>
      <c r="F17" s="10" t="s">
        <v>244</v>
      </c>
      <c r="G17" s="11" t="s">
        <v>245</v>
      </c>
      <c r="H17" s="13" t="s">
        <v>172</v>
      </c>
    </row>
    <row r="18" customFormat="false" ht="29.85" hidden="false" customHeight="false" outlineLevel="0" collapsed="false">
      <c r="A18" s="10" t="s">
        <v>246</v>
      </c>
      <c r="B18" s="10" t="s">
        <v>247</v>
      </c>
      <c r="C18" s="10" t="s">
        <v>248</v>
      </c>
      <c r="D18" s="11" t="s">
        <v>249</v>
      </c>
      <c r="E18" s="10" t="s">
        <v>250</v>
      </c>
      <c r="F18" s="10" t="s">
        <v>251</v>
      </c>
      <c r="G18" s="11" t="s">
        <v>252</v>
      </c>
      <c r="H18" s="13" t="s">
        <v>172</v>
      </c>
    </row>
    <row r="19" customFormat="false" ht="29.85" hidden="false" customHeight="false" outlineLevel="0" collapsed="false">
      <c r="A19" s="10" t="s">
        <v>253</v>
      </c>
      <c r="B19" s="11" t="s">
        <v>254</v>
      </c>
      <c r="C19" s="10" t="s">
        <v>255</v>
      </c>
      <c r="D19" s="10" t="s">
        <v>81</v>
      </c>
      <c r="E19" s="10" t="s">
        <v>256</v>
      </c>
      <c r="F19" s="10" t="s">
        <v>257</v>
      </c>
      <c r="G19" s="11" t="s">
        <v>258</v>
      </c>
      <c r="H19" s="14" t="s">
        <v>178</v>
      </c>
    </row>
    <row r="20" customFormat="false" ht="29.85" hidden="false" customHeight="false" outlineLevel="0" collapsed="false">
      <c r="A20" s="10" t="s">
        <v>259</v>
      </c>
      <c r="B20" s="11" t="s">
        <v>260</v>
      </c>
      <c r="C20" s="10" t="s">
        <v>261</v>
      </c>
      <c r="D20" s="10" t="s">
        <v>81</v>
      </c>
      <c r="E20" s="10" t="s">
        <v>262</v>
      </c>
      <c r="F20" s="10" t="s">
        <v>263</v>
      </c>
      <c r="G20" s="10" t="s">
        <v>264</v>
      </c>
      <c r="H20" s="14" t="s">
        <v>178</v>
      </c>
    </row>
    <row r="21" customFormat="false" ht="29.85" hidden="false" customHeight="false" outlineLevel="0" collapsed="false">
      <c r="A21" s="10" t="s">
        <v>265</v>
      </c>
      <c r="B21" s="10" t="s">
        <v>266</v>
      </c>
      <c r="C21" s="10" t="s">
        <v>267</v>
      </c>
      <c r="D21" s="10" t="s">
        <v>268</v>
      </c>
      <c r="E21" s="10" t="s">
        <v>269</v>
      </c>
      <c r="F21" s="10" t="s">
        <v>270</v>
      </c>
      <c r="G21" s="11" t="s">
        <v>271</v>
      </c>
      <c r="H21" s="13" t="s">
        <v>272</v>
      </c>
    </row>
    <row r="22" customFormat="false" ht="29.85" hidden="false" customHeight="false" outlineLevel="0" collapsed="false">
      <c r="A22" s="10" t="s">
        <v>273</v>
      </c>
      <c r="B22" s="10" t="s">
        <v>274</v>
      </c>
      <c r="C22" s="10" t="s">
        <v>275</v>
      </c>
      <c r="D22" s="10" t="s">
        <v>81</v>
      </c>
      <c r="E22" s="11" t="s">
        <v>276</v>
      </c>
      <c r="F22" s="10" t="s">
        <v>277</v>
      </c>
      <c r="G22" s="11" t="s">
        <v>278</v>
      </c>
      <c r="H22" s="13"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26"/>
    <col collapsed="false" customWidth="true" hidden="false" outlineLevel="0" max="4" min="4" style="0" width="48"/>
    <col collapsed="false" customWidth="true" hidden="false" outlineLevel="0" max="5" min="5" style="0" width="26"/>
    <col collapsed="false" customWidth="true" hidden="false" outlineLevel="0" max="7" min="6" style="0" width="48"/>
    <col collapsed="false" customWidth="true" hidden="false" outlineLevel="0" max="8" min="8" style="0" width="14"/>
  </cols>
  <sheetData>
    <row r="1" customFormat="false" ht="20.1" hidden="false" customHeight="false" outlineLevel="0" collapsed="false">
      <c r="A1" s="15" t="s">
        <v>280</v>
      </c>
    </row>
    <row r="2" customFormat="false" ht="15" hidden="false" customHeight="false" outlineLevel="0" collapsed="false">
      <c r="A2" s="2" t="s">
        <v>281</v>
      </c>
    </row>
    <row r="4" customFormat="false" ht="15" hidden="false" customHeight="false" outlineLevel="0" collapsed="false">
      <c r="A4" s="9" t="s">
        <v>159</v>
      </c>
      <c r="B4" s="8" t="s">
        <v>282</v>
      </c>
      <c r="C4" s="8" t="s">
        <v>283</v>
      </c>
      <c r="D4" s="8" t="s">
        <v>284</v>
      </c>
      <c r="E4" s="8" t="s">
        <v>285</v>
      </c>
      <c r="F4" s="8" t="s">
        <v>286</v>
      </c>
      <c r="G4" s="9" t="s">
        <v>165</v>
      </c>
      <c r="H4" s="8" t="s">
        <v>287</v>
      </c>
    </row>
    <row r="5" customFormat="false" ht="29.85" hidden="false" customHeight="false" outlineLevel="0" collapsed="false">
      <c r="A5" s="10" t="s">
        <v>43</v>
      </c>
      <c r="B5" s="10" t="s">
        <v>288</v>
      </c>
      <c r="C5" s="10" t="s">
        <v>173</v>
      </c>
      <c r="D5" s="10" t="s">
        <v>289</v>
      </c>
      <c r="E5" s="11" t="s">
        <v>290</v>
      </c>
      <c r="F5" s="10" t="s">
        <v>291</v>
      </c>
      <c r="G5" s="10" t="s">
        <v>292</v>
      </c>
      <c r="H5" s="10" t="s">
        <v>293</v>
      </c>
    </row>
    <row r="6" customFormat="false" ht="15" hidden="false" customHeight="false" outlineLevel="0" collapsed="false">
      <c r="A6" s="10" t="s">
        <v>53</v>
      </c>
      <c r="B6" s="10" t="s">
        <v>288</v>
      </c>
      <c r="C6" s="10" t="s">
        <v>294</v>
      </c>
      <c r="D6" s="10" t="s">
        <v>295</v>
      </c>
      <c r="E6" s="11" t="s">
        <v>296</v>
      </c>
      <c r="F6" s="10" t="s">
        <v>297</v>
      </c>
      <c r="G6" s="11" t="s">
        <v>298</v>
      </c>
      <c r="H6" s="10" t="s">
        <v>299</v>
      </c>
    </row>
    <row r="7" customFormat="false" ht="15" hidden="false" customHeight="false" outlineLevel="0" collapsed="false">
      <c r="A7" s="10" t="s">
        <v>63</v>
      </c>
      <c r="B7" s="10" t="s">
        <v>288</v>
      </c>
      <c r="C7" s="10" t="s">
        <v>300</v>
      </c>
      <c r="D7" s="10" t="s">
        <v>301</v>
      </c>
      <c r="E7" s="11" t="s">
        <v>302</v>
      </c>
      <c r="F7" s="11" t="s">
        <v>303</v>
      </c>
      <c r="G7" s="10" t="s">
        <v>304</v>
      </c>
      <c r="H7" s="10" t="s">
        <v>305</v>
      </c>
    </row>
    <row r="8" customFormat="false" ht="29.85" hidden="false" customHeight="false" outlineLevel="0" collapsed="false">
      <c r="A8" s="10" t="s">
        <v>72</v>
      </c>
      <c r="B8" s="10" t="s">
        <v>288</v>
      </c>
      <c r="C8" s="10" t="s">
        <v>306</v>
      </c>
      <c r="D8" s="10" t="s">
        <v>307</v>
      </c>
      <c r="E8" s="11" t="s">
        <v>308</v>
      </c>
      <c r="F8" s="10" t="s">
        <v>309</v>
      </c>
      <c r="G8" s="11" t="s">
        <v>298</v>
      </c>
      <c r="H8" s="10" t="s">
        <v>310</v>
      </c>
    </row>
    <row r="9" customFormat="false" ht="29.85" hidden="false" customHeight="false" outlineLevel="0" collapsed="false">
      <c r="A9" s="10" t="s">
        <v>82</v>
      </c>
      <c r="B9" s="10" t="s">
        <v>288</v>
      </c>
      <c r="C9" s="10" t="s">
        <v>311</v>
      </c>
      <c r="D9" s="10" t="s">
        <v>312</v>
      </c>
      <c r="E9" s="11" t="s">
        <v>313</v>
      </c>
      <c r="F9" s="11" t="s">
        <v>314</v>
      </c>
      <c r="G9" s="10" t="s">
        <v>315</v>
      </c>
      <c r="H9" s="10" t="s">
        <v>316</v>
      </c>
    </row>
    <row r="10" customFormat="false" ht="44" hidden="false" customHeight="false" outlineLevel="0" collapsed="false">
      <c r="A10" s="10" t="s">
        <v>92</v>
      </c>
      <c r="B10" s="10" t="s">
        <v>288</v>
      </c>
      <c r="C10" s="10" t="s">
        <v>317</v>
      </c>
      <c r="D10" s="10" t="s">
        <v>318</v>
      </c>
      <c r="E10" s="11" t="s">
        <v>296</v>
      </c>
      <c r="F10" s="10" t="s">
        <v>319</v>
      </c>
      <c r="G10" s="11" t="s">
        <v>320</v>
      </c>
      <c r="H10" s="10" t="s">
        <v>321</v>
      </c>
    </row>
    <row r="11" customFormat="false" ht="29.85" hidden="false" customHeight="false" outlineLevel="0" collapsed="false">
      <c r="A11" s="10" t="s">
        <v>102</v>
      </c>
      <c r="B11" s="10" t="s">
        <v>288</v>
      </c>
      <c r="C11" s="10" t="s">
        <v>322</v>
      </c>
      <c r="D11" s="10" t="s">
        <v>323</v>
      </c>
      <c r="E11" s="11" t="s">
        <v>324</v>
      </c>
      <c r="F11" s="10" t="s">
        <v>325</v>
      </c>
      <c r="G11" s="11" t="s">
        <v>326</v>
      </c>
      <c r="H11" s="10" t="s">
        <v>327</v>
      </c>
    </row>
    <row r="12" customFormat="false" ht="29.85" hidden="false" customHeight="false" outlineLevel="0" collapsed="false">
      <c r="A12" s="10" t="s">
        <v>111</v>
      </c>
      <c r="B12" s="10" t="s">
        <v>288</v>
      </c>
      <c r="C12" s="10" t="s">
        <v>328</v>
      </c>
      <c r="D12" s="11" t="s">
        <v>329</v>
      </c>
      <c r="E12" s="11" t="s">
        <v>330</v>
      </c>
      <c r="F12" s="10" t="s">
        <v>331</v>
      </c>
      <c r="G12" s="11" t="s">
        <v>332</v>
      </c>
      <c r="H12" s="10" t="s">
        <v>333</v>
      </c>
    </row>
    <row r="13" customFormat="false" ht="41" hidden="false" customHeight="false" outlineLevel="0" collapsed="false">
      <c r="A13" s="10" t="s">
        <v>120</v>
      </c>
      <c r="B13" s="10" t="s">
        <v>334</v>
      </c>
      <c r="C13" s="10" t="s">
        <v>335</v>
      </c>
      <c r="D13" s="10" t="s">
        <v>336</v>
      </c>
      <c r="E13" s="11" t="s">
        <v>337</v>
      </c>
      <c r="F13" s="11" t="s">
        <v>338</v>
      </c>
      <c r="G13" s="11" t="s">
        <v>339</v>
      </c>
      <c r="H13" s="10" t="s">
        <v>340</v>
      </c>
    </row>
    <row r="14" customFormat="false" ht="55.2" hidden="false" customHeight="false" outlineLevel="0" collapsed="false">
      <c r="A14" s="10" t="s">
        <v>130</v>
      </c>
      <c r="B14" s="10" t="s">
        <v>334</v>
      </c>
      <c r="C14" s="10" t="s">
        <v>341</v>
      </c>
      <c r="D14" s="10" t="s">
        <v>342</v>
      </c>
      <c r="E14" s="11" t="s">
        <v>343</v>
      </c>
      <c r="F14" s="11" t="s">
        <v>344</v>
      </c>
      <c r="G14" s="11" t="s">
        <v>345</v>
      </c>
      <c r="H14" s="10" t="s">
        <v>346</v>
      </c>
    </row>
    <row r="15" customFormat="false" ht="52.2" hidden="false" customHeight="false" outlineLevel="0" collapsed="false">
      <c r="A15" s="10" t="s">
        <v>139</v>
      </c>
      <c r="B15" s="10" t="s">
        <v>334</v>
      </c>
      <c r="C15" s="10" t="s">
        <v>347</v>
      </c>
      <c r="D15" s="10" t="s">
        <v>348</v>
      </c>
      <c r="E15" s="11" t="s">
        <v>349</v>
      </c>
      <c r="F15" s="11" t="s">
        <v>350</v>
      </c>
      <c r="G15" s="11" t="s">
        <v>351</v>
      </c>
      <c r="H15" s="10" t="s">
        <v>340</v>
      </c>
    </row>
    <row r="16" customFormat="false" ht="77.6" hidden="false" customHeight="false" outlineLevel="0" collapsed="false">
      <c r="A16" s="10" t="s">
        <v>148</v>
      </c>
      <c r="B16" s="10" t="s">
        <v>352</v>
      </c>
      <c r="C16" s="11" t="s">
        <v>353</v>
      </c>
      <c r="D16" s="10" t="s">
        <v>354</v>
      </c>
      <c r="E16" s="11" t="s">
        <v>355</v>
      </c>
      <c r="F16" s="11" t="s">
        <v>356</v>
      </c>
      <c r="G16" s="11" t="s">
        <v>357</v>
      </c>
      <c r="H16" s="11" t="s">
        <v>358</v>
      </c>
    </row>
    <row r="17" customFormat="false" ht="44" hidden="false" customHeight="false" outlineLevel="0" collapsed="false">
      <c r="A17" s="10" t="s">
        <v>239</v>
      </c>
      <c r="B17" s="10" t="s">
        <v>359</v>
      </c>
      <c r="C17" s="10" t="s">
        <v>360</v>
      </c>
      <c r="D17" s="10" t="s">
        <v>361</v>
      </c>
      <c r="E17" s="11" t="s">
        <v>362</v>
      </c>
      <c r="F17" s="10" t="s">
        <v>363</v>
      </c>
      <c r="G17" s="11" t="s">
        <v>364</v>
      </c>
      <c r="H17" s="11" t="s">
        <v>358</v>
      </c>
    </row>
    <row r="18" customFormat="false" ht="29.85" hidden="false" customHeight="false" outlineLevel="0" collapsed="false">
      <c r="A18" s="10" t="s">
        <v>246</v>
      </c>
      <c r="B18" s="10" t="s">
        <v>365</v>
      </c>
      <c r="C18" s="10" t="s">
        <v>366</v>
      </c>
      <c r="D18" s="11" t="s">
        <v>367</v>
      </c>
      <c r="E18" s="11" t="s">
        <v>368</v>
      </c>
      <c r="F18" s="10" t="s">
        <v>369</v>
      </c>
      <c r="G18" s="11" t="s">
        <v>370</v>
      </c>
      <c r="H18" s="11" t="s">
        <v>371</v>
      </c>
    </row>
    <row r="19" customFormat="false" ht="38.05" hidden="false" customHeight="false" outlineLevel="0" collapsed="false">
      <c r="A19" s="10" t="s">
        <v>253</v>
      </c>
      <c r="B19" s="10" t="s">
        <v>372</v>
      </c>
      <c r="C19" s="11" t="s">
        <v>373</v>
      </c>
      <c r="D19" s="10" t="s">
        <v>374</v>
      </c>
      <c r="E19" s="11" t="s">
        <v>375</v>
      </c>
      <c r="F19" s="10" t="s">
        <v>376</v>
      </c>
      <c r="G19" s="11" t="s">
        <v>377</v>
      </c>
      <c r="H19" s="10" t="s">
        <v>81</v>
      </c>
    </row>
    <row r="20" customFormat="false" ht="29.85" hidden="false" customHeight="false" outlineLevel="0" collapsed="false">
      <c r="A20" s="10" t="s">
        <v>259</v>
      </c>
      <c r="B20" s="10" t="s">
        <v>266</v>
      </c>
      <c r="C20" s="10" t="s">
        <v>378</v>
      </c>
      <c r="D20" s="10" t="s">
        <v>379</v>
      </c>
      <c r="E20" s="11" t="s">
        <v>380</v>
      </c>
      <c r="F20" s="10" t="s">
        <v>381</v>
      </c>
      <c r="G20" s="11" t="s">
        <v>382</v>
      </c>
      <c r="H20" s="10"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4"/>
    <col collapsed="false" customWidth="true" hidden="false" outlineLevel="0" max="4" min="4" style="0" width="40"/>
    <col collapsed="false" customWidth="true" hidden="false" outlineLevel="0" max="5" min="5" style="0" width="55"/>
    <col collapsed="false" customWidth="true" hidden="false" outlineLevel="0" max="6" min="6" style="0" width="30"/>
    <col collapsed="false" customWidth="true" hidden="false" outlineLevel="0" max="7" min="7" style="0" width="36"/>
    <col collapsed="false" customWidth="true" hidden="false" outlineLevel="0" max="8" min="8" style="0" width="30"/>
    <col collapsed="false" customWidth="true" hidden="false" outlineLevel="0" max="9" min="9" style="0" width="10"/>
  </cols>
  <sheetData>
    <row r="1" customFormat="false" ht="20.1" hidden="false" customHeight="false" outlineLevel="0" collapsed="false">
      <c r="A1" s="15" t="s">
        <v>384</v>
      </c>
    </row>
    <row r="2" customFormat="false" ht="15" hidden="false" customHeight="false" outlineLevel="0" collapsed="false">
      <c r="A2" s="2" t="s">
        <v>385</v>
      </c>
    </row>
    <row r="4" customFormat="false" ht="15" hidden="false" customHeight="false" outlineLevel="0" collapsed="false">
      <c r="A4" s="9" t="s">
        <v>386</v>
      </c>
      <c r="B4" s="9" t="s">
        <v>387</v>
      </c>
      <c r="C4" s="8" t="s">
        <v>388</v>
      </c>
      <c r="D4" s="8" t="s">
        <v>389</v>
      </c>
      <c r="E4" s="8" t="s">
        <v>390</v>
      </c>
      <c r="F4" s="8" t="s">
        <v>391</v>
      </c>
      <c r="G4" s="8" t="s">
        <v>392</v>
      </c>
      <c r="H4" s="8" t="s">
        <v>39</v>
      </c>
      <c r="I4" s="8" t="s">
        <v>40</v>
      </c>
    </row>
    <row r="5" customFormat="false" ht="58.2" hidden="false" customHeight="false" outlineLevel="0" collapsed="false">
      <c r="A5" s="10" t="s">
        <v>393</v>
      </c>
      <c r="B5" s="11" t="s">
        <v>394</v>
      </c>
      <c r="C5" s="11" t="s">
        <v>395</v>
      </c>
      <c r="D5" s="11" t="s">
        <v>396</v>
      </c>
      <c r="E5" s="11" t="s">
        <v>397</v>
      </c>
      <c r="F5" s="11" t="s">
        <v>398</v>
      </c>
      <c r="G5" s="10" t="s">
        <v>399</v>
      </c>
      <c r="H5" s="10" t="s">
        <v>400</v>
      </c>
      <c r="I5" s="12" t="s">
        <v>401</v>
      </c>
    </row>
    <row r="6" customFormat="false" ht="44" hidden="false" customHeight="false" outlineLevel="0" collapsed="false">
      <c r="A6" s="10" t="s">
        <v>402</v>
      </c>
      <c r="B6" s="10" t="s">
        <v>403</v>
      </c>
      <c r="C6" s="10" t="s">
        <v>404</v>
      </c>
      <c r="D6" s="10" t="s">
        <v>405</v>
      </c>
      <c r="E6" s="11" t="s">
        <v>406</v>
      </c>
      <c r="F6" s="11" t="s">
        <v>407</v>
      </c>
      <c r="G6" s="10" t="s">
        <v>408</v>
      </c>
      <c r="H6" s="10" t="s">
        <v>409</v>
      </c>
      <c r="I6" s="13" t="s">
        <v>410</v>
      </c>
    </row>
    <row r="7" customFormat="false" ht="58.2" hidden="false" customHeight="false" outlineLevel="0" collapsed="false">
      <c r="A7" s="10" t="s">
        <v>411</v>
      </c>
      <c r="B7" s="10" t="s">
        <v>412</v>
      </c>
      <c r="C7" s="10" t="s">
        <v>413</v>
      </c>
      <c r="D7" s="10" t="s">
        <v>414</v>
      </c>
      <c r="E7" s="10" t="s">
        <v>415</v>
      </c>
      <c r="F7" s="11" t="s">
        <v>416</v>
      </c>
      <c r="G7" s="11" t="s">
        <v>417</v>
      </c>
      <c r="H7" s="11" t="s">
        <v>418</v>
      </c>
      <c r="I7" s="13" t="s">
        <v>410</v>
      </c>
    </row>
    <row r="8" customFormat="false" ht="58.2" hidden="false" customHeight="false" outlineLevel="0" collapsed="false">
      <c r="A8" s="10" t="s">
        <v>419</v>
      </c>
      <c r="B8" s="10" t="s">
        <v>420</v>
      </c>
      <c r="C8" s="10" t="s">
        <v>421</v>
      </c>
      <c r="D8" s="11" t="s">
        <v>422</v>
      </c>
      <c r="E8" s="11" t="s">
        <v>423</v>
      </c>
      <c r="F8" s="11" t="s">
        <v>424</v>
      </c>
      <c r="G8" s="10" t="s">
        <v>425</v>
      </c>
      <c r="H8" s="10" t="s">
        <v>426</v>
      </c>
      <c r="I8" s="13" t="s">
        <v>172</v>
      </c>
    </row>
    <row r="9" customFormat="false" ht="44" hidden="false" customHeight="false" outlineLevel="0" collapsed="false">
      <c r="A9" s="10" t="s">
        <v>427</v>
      </c>
      <c r="B9" s="10" t="s">
        <v>428</v>
      </c>
      <c r="C9" s="10" t="s">
        <v>429</v>
      </c>
      <c r="D9" s="11" t="s">
        <v>430</v>
      </c>
      <c r="E9" s="10" t="s">
        <v>431</v>
      </c>
      <c r="F9" s="11" t="s">
        <v>432</v>
      </c>
      <c r="G9" s="10" t="s">
        <v>433</v>
      </c>
      <c r="H9" s="11" t="s">
        <v>434</v>
      </c>
      <c r="I9" s="13" t="s">
        <v>172</v>
      </c>
    </row>
    <row r="10" customFormat="false" ht="44" hidden="false" customHeight="false" outlineLevel="0" collapsed="false">
      <c r="A10" s="10" t="s">
        <v>435</v>
      </c>
      <c r="B10" s="10" t="s">
        <v>436</v>
      </c>
      <c r="C10" s="10" t="s">
        <v>437</v>
      </c>
      <c r="D10" s="10" t="s">
        <v>438</v>
      </c>
      <c r="E10" s="11" t="s">
        <v>439</v>
      </c>
      <c r="F10" s="10" t="s">
        <v>81</v>
      </c>
      <c r="G10" s="10" t="s">
        <v>440</v>
      </c>
      <c r="H10" s="10" t="s">
        <v>441</v>
      </c>
      <c r="I10" s="13" t="s">
        <v>272</v>
      </c>
    </row>
    <row r="11" customFormat="false" ht="58.2" hidden="false" customHeight="false" outlineLevel="0" collapsed="false">
      <c r="A11" s="10" t="s">
        <v>442</v>
      </c>
      <c r="B11" s="11" t="s">
        <v>443</v>
      </c>
      <c r="C11" s="10" t="s">
        <v>444</v>
      </c>
      <c r="D11" s="11" t="s">
        <v>445</v>
      </c>
      <c r="E11" s="11" t="s">
        <v>446</v>
      </c>
      <c r="F11" s="11" t="s">
        <v>447</v>
      </c>
      <c r="G11" s="10" t="s">
        <v>448</v>
      </c>
      <c r="H11" s="10" t="s">
        <v>449</v>
      </c>
      <c r="I11" s="13" t="s">
        <v>172</v>
      </c>
    </row>
    <row r="12" customFormat="false" ht="29.85" hidden="false" customHeight="false" outlineLevel="0" collapsed="false">
      <c r="A12" s="10" t="s">
        <v>450</v>
      </c>
      <c r="B12" s="10" t="s">
        <v>451</v>
      </c>
      <c r="C12" s="11" t="s">
        <v>452</v>
      </c>
      <c r="D12" s="10" t="s">
        <v>453</v>
      </c>
      <c r="E12" s="10" t="s">
        <v>454</v>
      </c>
      <c r="F12" s="11" t="s">
        <v>455</v>
      </c>
      <c r="G12" s="10" t="s">
        <v>456</v>
      </c>
      <c r="H12" s="10" t="s">
        <v>457</v>
      </c>
      <c r="I12" s="12" t="s">
        <v>401</v>
      </c>
    </row>
    <row r="13" customFormat="false" ht="44" hidden="false" customHeight="false" outlineLevel="0" collapsed="false">
      <c r="A13" s="10" t="s">
        <v>458</v>
      </c>
      <c r="B13" s="10" t="s">
        <v>459</v>
      </c>
      <c r="C13" s="10" t="s">
        <v>460</v>
      </c>
      <c r="D13" s="10" t="s">
        <v>461</v>
      </c>
      <c r="E13" s="11" t="s">
        <v>462</v>
      </c>
      <c r="F13" s="11" t="s">
        <v>463</v>
      </c>
      <c r="G13" s="10" t="s">
        <v>464</v>
      </c>
      <c r="H13" s="11" t="s">
        <v>465</v>
      </c>
      <c r="I13" s="13"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4" min="2" style="0" width="13"/>
  </cols>
  <sheetData>
    <row r="1" customFormat="false" ht="20.1" hidden="false" customHeight="false" outlineLevel="0" collapsed="false">
      <c r="A1" s="15" t="s">
        <v>466</v>
      </c>
    </row>
    <row r="2" customFormat="false" ht="15" hidden="false" customHeight="false" outlineLevel="0" collapsed="false">
      <c r="A2" s="2" t="s">
        <v>467</v>
      </c>
    </row>
    <row r="4" customFormat="false" ht="15" hidden="false" customHeight="false" outlineLevel="0" collapsed="false">
      <c r="A4" s="16" t="s">
        <v>468</v>
      </c>
      <c r="B4" s="17"/>
      <c r="C4" s="17"/>
      <c r="D4" s="17"/>
      <c r="E4" s="17"/>
      <c r="F4" s="17"/>
      <c r="G4" s="17"/>
      <c r="H4" s="17"/>
      <c r="I4" s="18" t="s">
        <v>469</v>
      </c>
    </row>
    <row r="5" customFormat="false" ht="15" hidden="false" customHeight="false" outlineLevel="0" collapsed="false">
      <c r="A5" s="19" t="s">
        <v>470</v>
      </c>
      <c r="B5" s="8" t="n">
        <v>1</v>
      </c>
      <c r="C5" s="8" t="n">
        <v>2</v>
      </c>
      <c r="D5" s="8" t="n">
        <v>3</v>
      </c>
      <c r="E5" s="8" t="n">
        <v>4</v>
      </c>
      <c r="F5" s="8" t="n">
        <v>5</v>
      </c>
      <c r="G5" s="8" t="n">
        <v>6</v>
      </c>
    </row>
    <row r="6" customFormat="false" ht="15" hidden="false" customHeight="false" outlineLevel="0" collapsed="false">
      <c r="A6" s="20" t="n">
        <v>1</v>
      </c>
      <c r="B6" s="21" t="n">
        <v>1</v>
      </c>
      <c r="C6" s="21" t="n">
        <v>1</v>
      </c>
      <c r="D6" s="21" t="n">
        <v>1</v>
      </c>
      <c r="E6" s="21" t="n">
        <v>2</v>
      </c>
      <c r="F6" s="21" t="n">
        <v>4</v>
      </c>
      <c r="G6" s="21" t="n">
        <v>5</v>
      </c>
    </row>
    <row r="7" customFormat="false" ht="15" hidden="false" customHeight="false" outlineLevel="0" collapsed="false">
      <c r="A7" s="20" t="n">
        <v>2</v>
      </c>
      <c r="B7" s="21" t="n">
        <v>2</v>
      </c>
      <c r="C7" s="21" t="n">
        <v>2</v>
      </c>
      <c r="D7" s="21" t="n">
        <v>2</v>
      </c>
      <c r="E7" s="21" t="n">
        <v>3</v>
      </c>
      <c r="F7" s="21" t="n">
        <v>4</v>
      </c>
      <c r="G7" s="21" t="n">
        <v>5</v>
      </c>
    </row>
    <row r="8" customFormat="false" ht="15" hidden="false" customHeight="false" outlineLevel="0" collapsed="false">
      <c r="A8" s="20" t="n">
        <v>3</v>
      </c>
      <c r="B8" s="21" t="n">
        <v>3</v>
      </c>
      <c r="C8" s="21" t="n">
        <v>3</v>
      </c>
      <c r="D8" s="21" t="n">
        <v>3</v>
      </c>
      <c r="E8" s="21" t="n">
        <v>3</v>
      </c>
      <c r="F8" s="21" t="n">
        <v>4</v>
      </c>
      <c r="G8" s="21" t="n">
        <v>6</v>
      </c>
    </row>
    <row r="9" customFormat="false" ht="15" hidden="false" customHeight="false" outlineLevel="0" collapsed="false">
      <c r="A9" s="20" t="n">
        <v>4</v>
      </c>
      <c r="B9" s="21" t="n">
        <v>4</v>
      </c>
      <c r="C9" s="21" t="n">
        <v>4</v>
      </c>
      <c r="D9" s="21" t="n">
        <v>4</v>
      </c>
      <c r="E9" s="21" t="n">
        <v>4</v>
      </c>
      <c r="F9" s="21" t="n">
        <v>5</v>
      </c>
      <c r="G9" s="21" t="n">
        <v>6</v>
      </c>
    </row>
    <row r="10" customFormat="false" ht="15" hidden="false" customHeight="false" outlineLevel="0" collapsed="false">
      <c r="A10" s="20" t="n">
        <v>5</v>
      </c>
      <c r="B10" s="21" t="n">
        <v>5</v>
      </c>
      <c r="C10" s="21" t="n">
        <v>5</v>
      </c>
      <c r="D10" s="21" t="n">
        <v>5</v>
      </c>
      <c r="E10" s="21" t="n">
        <v>5</v>
      </c>
      <c r="F10" s="21" t="n">
        <v>5</v>
      </c>
      <c r="G10" s="21" t="n">
        <v>6</v>
      </c>
    </row>
    <row r="11" customFormat="false" ht="15" hidden="false" customHeight="false" outlineLevel="0" collapsed="false">
      <c r="A11" s="20" t="n">
        <v>6</v>
      </c>
      <c r="B11" s="21" t="n">
        <v>6</v>
      </c>
      <c r="C11" s="21" t="n">
        <v>6</v>
      </c>
      <c r="D11" s="21" t="n">
        <v>6</v>
      </c>
      <c r="E11" s="21" t="n">
        <v>6</v>
      </c>
      <c r="F11" s="21" t="n">
        <v>6</v>
      </c>
      <c r="G11" s="21" t="n">
        <v>6</v>
      </c>
    </row>
    <row r="13" customFormat="false" ht="15" hidden="false" customHeight="false" outlineLevel="0" collapsed="false">
      <c r="A13" s="16" t="s">
        <v>471</v>
      </c>
      <c r="B13" s="17"/>
      <c r="C13" s="17"/>
      <c r="D13" s="17"/>
      <c r="E13" s="17"/>
      <c r="F13" s="17"/>
      <c r="G13" s="17"/>
      <c r="H13" s="17"/>
    </row>
    <row r="14" customFormat="false" ht="15" hidden="false" customHeight="false" outlineLevel="0" collapsed="false">
      <c r="A14" s="19" t="s">
        <v>470</v>
      </c>
      <c r="B14" s="9" t="s">
        <v>472</v>
      </c>
      <c r="C14" s="9" t="s">
        <v>473</v>
      </c>
      <c r="D14" s="9" t="s">
        <v>474</v>
      </c>
      <c r="E14" s="9" t="s">
        <v>475</v>
      </c>
      <c r="F14" s="9" t="s">
        <v>476</v>
      </c>
      <c r="H14" s="9" t="s">
        <v>477</v>
      </c>
    </row>
    <row r="15" customFormat="false" ht="15" hidden="false" customHeight="false" outlineLevel="0" collapsed="false">
      <c r="A15" s="20" t="n">
        <v>1</v>
      </c>
      <c r="B15" s="22" t="n">
        <f aca="false">INDEX($B$6:$G$11,1,2)-INDEX($B$6:$G$11,1,1)</f>
        <v>0</v>
      </c>
      <c r="C15" s="22" t="n">
        <f aca="false">INDEX($B$6:$G$11,1,3)-INDEX($B$6:$G$11,1,2)</f>
        <v>0</v>
      </c>
      <c r="D15" s="22" t="n">
        <f aca="false">INDEX($B$6:$G$11,1,4)-INDEX($B$6:$G$11,1,3)</f>
        <v>1</v>
      </c>
      <c r="E15" s="22" t="n">
        <f aca="false">INDEX($B$6:$G$11,1,5)-INDEX($B$6:$G$11,1,4)</f>
        <v>2</v>
      </c>
      <c r="F15" s="22" t="n">
        <f aca="false">INDEX($B$6:$G$11,1,6)-INDEX($B$6:$G$11,1,5)</f>
        <v>1</v>
      </c>
      <c r="H15" s="20" t="n">
        <f aca="false">MAX(B15:F15)</f>
        <v>2</v>
      </c>
    </row>
    <row r="16" customFormat="false" ht="15" hidden="false" customHeight="false" outlineLevel="0" collapsed="false">
      <c r="A16" s="20" t="n">
        <v>2</v>
      </c>
      <c r="B16" s="22" t="n">
        <f aca="false">INDEX($B$6:$G$11,2,2)-INDEX($B$6:$G$11,2,1)</f>
        <v>0</v>
      </c>
      <c r="C16" s="22" t="n">
        <f aca="false">INDEX($B$6:$G$11,2,3)-INDEX($B$6:$G$11,2,2)</f>
        <v>0</v>
      </c>
      <c r="D16" s="22" t="n">
        <f aca="false">INDEX($B$6:$G$11,2,4)-INDEX($B$6:$G$11,2,3)</f>
        <v>1</v>
      </c>
      <c r="E16" s="22" t="n">
        <f aca="false">INDEX($B$6:$G$11,2,5)-INDEX($B$6:$G$11,2,4)</f>
        <v>1</v>
      </c>
      <c r="F16" s="22" t="n">
        <f aca="false">INDEX($B$6:$G$11,2,6)-INDEX($B$6:$G$11,2,5)</f>
        <v>1</v>
      </c>
      <c r="H16" s="20" t="n">
        <f aca="false">MAX(B16:F16)</f>
        <v>1</v>
      </c>
    </row>
    <row r="17" customFormat="false" ht="15" hidden="false" customHeight="false" outlineLevel="0" collapsed="false">
      <c r="A17" s="20" t="n">
        <v>3</v>
      </c>
      <c r="B17" s="22" t="n">
        <f aca="false">INDEX($B$6:$G$11,3,2)-INDEX($B$6:$G$11,3,1)</f>
        <v>0</v>
      </c>
      <c r="C17" s="22" t="n">
        <f aca="false">INDEX($B$6:$G$11,3,3)-INDEX($B$6:$G$11,3,2)</f>
        <v>0</v>
      </c>
      <c r="D17" s="22" t="n">
        <f aca="false">INDEX($B$6:$G$11,3,4)-INDEX($B$6:$G$11,3,3)</f>
        <v>0</v>
      </c>
      <c r="E17" s="22" t="n">
        <f aca="false">INDEX($B$6:$G$11,3,5)-INDEX($B$6:$G$11,3,4)</f>
        <v>1</v>
      </c>
      <c r="F17" s="22" t="n">
        <f aca="false">INDEX($B$6:$G$11,3,6)-INDEX($B$6:$G$11,3,5)</f>
        <v>2</v>
      </c>
      <c r="H17" s="20" t="n">
        <f aca="false">MAX(B17:F17)</f>
        <v>2</v>
      </c>
    </row>
    <row r="18" customFormat="false" ht="15" hidden="false" customHeight="false" outlineLevel="0" collapsed="false">
      <c r="A18" s="20" t="n">
        <v>4</v>
      </c>
      <c r="B18" s="22" t="n">
        <f aca="false">INDEX($B$6:$G$11,4,2)-INDEX($B$6:$G$11,4,1)</f>
        <v>0</v>
      </c>
      <c r="C18" s="22" t="n">
        <f aca="false">INDEX($B$6:$G$11,4,3)-INDEX($B$6:$G$11,4,2)</f>
        <v>0</v>
      </c>
      <c r="D18" s="22" t="n">
        <f aca="false">INDEX($B$6:$G$11,4,4)-INDEX($B$6:$G$11,4,3)</f>
        <v>0</v>
      </c>
      <c r="E18" s="22" t="n">
        <f aca="false">INDEX($B$6:$G$11,4,5)-INDEX($B$6:$G$11,4,4)</f>
        <v>1</v>
      </c>
      <c r="F18" s="22" t="n">
        <f aca="false">INDEX($B$6:$G$11,4,6)-INDEX($B$6:$G$11,4,5)</f>
        <v>1</v>
      </c>
      <c r="H18" s="20" t="n">
        <f aca="false">MAX(B18:F18)</f>
        <v>1</v>
      </c>
    </row>
    <row r="19" customFormat="false" ht="15" hidden="false" customHeight="false" outlineLevel="0" collapsed="false">
      <c r="A19" s="20" t="n">
        <v>5</v>
      </c>
      <c r="B19" s="22" t="n">
        <f aca="false">INDEX($B$6:$G$11,5,2)-INDEX($B$6:$G$11,5,1)</f>
        <v>0</v>
      </c>
      <c r="C19" s="22" t="n">
        <f aca="false">INDEX($B$6:$G$11,5,3)-INDEX($B$6:$G$11,5,2)</f>
        <v>0</v>
      </c>
      <c r="D19" s="22" t="n">
        <f aca="false">INDEX($B$6:$G$11,5,4)-INDEX($B$6:$G$11,5,3)</f>
        <v>0</v>
      </c>
      <c r="E19" s="22" t="n">
        <f aca="false">INDEX($B$6:$G$11,5,5)-INDEX($B$6:$G$11,5,4)</f>
        <v>0</v>
      </c>
      <c r="F19" s="22" t="n">
        <f aca="false">INDEX($B$6:$G$11,5,6)-INDEX($B$6:$G$11,5,5)</f>
        <v>1</v>
      </c>
      <c r="H19" s="20" t="n">
        <f aca="false">MAX(B19:F19)</f>
        <v>1</v>
      </c>
    </row>
    <row r="20" customFormat="false" ht="15" hidden="false" customHeight="false" outlineLevel="0" collapsed="false">
      <c r="A20" s="20" t="n">
        <v>6</v>
      </c>
      <c r="B20" s="22" t="n">
        <f aca="false">INDEX($B$6:$G$11,6,2)-INDEX($B$6:$G$11,6,1)</f>
        <v>0</v>
      </c>
      <c r="C20" s="22" t="n">
        <f aca="false">INDEX($B$6:$G$11,6,3)-INDEX($B$6:$G$11,6,2)</f>
        <v>0</v>
      </c>
      <c r="D20" s="22" t="n">
        <f aca="false">INDEX($B$6:$G$11,6,4)-INDEX($B$6:$G$11,6,3)</f>
        <v>0</v>
      </c>
      <c r="E20" s="22" t="n">
        <f aca="false">INDEX($B$6:$G$11,6,5)-INDEX($B$6:$G$11,6,4)</f>
        <v>0</v>
      </c>
      <c r="F20" s="22" t="n">
        <f aca="false">INDEX($B$6:$G$11,6,6)-INDEX($B$6:$G$11,6,5)</f>
        <v>0</v>
      </c>
      <c r="H20" s="20" t="n">
        <f aca="false">MAX(B20:F20)</f>
        <v>0</v>
      </c>
    </row>
    <row r="21" customFormat="false" ht="15" hidden="false" customHeight="false" outlineLevel="0" collapsed="false">
      <c r="A21" s="3" t="s">
        <v>478</v>
      </c>
      <c r="H21" s="23" t="n">
        <f aca="false">MAX(B15:F20)</f>
        <v>2</v>
      </c>
    </row>
    <row r="23" customFormat="false" ht="15" hidden="false" customHeight="false" outlineLevel="0" collapsed="false">
      <c r="A23" s="16" t="s">
        <v>479</v>
      </c>
      <c r="B23" s="17"/>
      <c r="C23" s="17"/>
      <c r="D23" s="17"/>
      <c r="E23" s="17"/>
      <c r="F23" s="17"/>
      <c r="G23" s="17"/>
      <c r="H23" s="17"/>
      <c r="I23" s="18" t="s">
        <v>480</v>
      </c>
    </row>
    <row r="24" customFormat="false" ht="15" hidden="false" customHeight="false" outlineLevel="0" collapsed="false">
      <c r="A24" s="19" t="s">
        <v>481</v>
      </c>
      <c r="B24" s="8" t="n">
        <v>1</v>
      </c>
      <c r="C24" s="8" t="n">
        <v>2</v>
      </c>
      <c r="D24" s="8" t="n">
        <v>3</v>
      </c>
      <c r="E24" s="8" t="n">
        <v>4</v>
      </c>
      <c r="F24" s="8" t="n">
        <v>5</v>
      </c>
      <c r="G24" s="8" t="n">
        <v>6</v>
      </c>
    </row>
    <row r="25" customFormat="false" ht="15" hidden="false" customHeight="false" outlineLevel="0" collapsed="false">
      <c r="A25" s="20" t="n">
        <v>1</v>
      </c>
      <c r="B25" s="21" t="n">
        <v>1</v>
      </c>
      <c r="C25" s="21" t="n">
        <v>1</v>
      </c>
      <c r="D25" s="21" t="n">
        <v>1</v>
      </c>
      <c r="E25" s="21" t="n">
        <v>2</v>
      </c>
      <c r="F25" s="21" t="n">
        <v>3</v>
      </c>
      <c r="G25" s="21" t="n">
        <v>5</v>
      </c>
    </row>
    <row r="26" customFormat="false" ht="15" hidden="false" customHeight="false" outlineLevel="0" collapsed="false">
      <c r="A26" s="20" t="n">
        <v>2</v>
      </c>
      <c r="B26" s="21" t="n">
        <v>1</v>
      </c>
      <c r="C26" s="21" t="n">
        <v>2</v>
      </c>
      <c r="D26" s="21" t="n">
        <v>2</v>
      </c>
      <c r="E26" s="21" t="n">
        <v>3</v>
      </c>
      <c r="F26" s="21" t="n">
        <v>4</v>
      </c>
      <c r="G26" s="21" t="n">
        <v>5</v>
      </c>
    </row>
    <row r="27" customFormat="false" ht="15" hidden="false" customHeight="false" outlineLevel="0" collapsed="false">
      <c r="A27" s="20" t="n">
        <v>3</v>
      </c>
      <c r="B27" s="21" t="n">
        <v>2</v>
      </c>
      <c r="C27" s="21" t="n">
        <v>3</v>
      </c>
      <c r="D27" s="21" t="n">
        <v>3</v>
      </c>
      <c r="E27" s="21" t="n">
        <v>3</v>
      </c>
      <c r="F27" s="21" t="n">
        <v>4</v>
      </c>
      <c r="G27" s="21" t="n">
        <v>6</v>
      </c>
    </row>
    <row r="28" customFormat="false" ht="15" hidden="false" customHeight="false" outlineLevel="0" collapsed="false">
      <c r="A28" s="20" t="n">
        <v>4</v>
      </c>
      <c r="B28" s="21" t="n">
        <v>3</v>
      </c>
      <c r="C28" s="21" t="n">
        <v>4</v>
      </c>
      <c r="D28" s="21" t="n">
        <v>4</v>
      </c>
      <c r="E28" s="21" t="n">
        <v>4</v>
      </c>
      <c r="F28" s="21" t="n">
        <v>5</v>
      </c>
      <c r="G28" s="21" t="n">
        <v>6</v>
      </c>
    </row>
    <row r="29" customFormat="false" ht="15" hidden="false" customHeight="false" outlineLevel="0" collapsed="false">
      <c r="A29" s="20" t="n">
        <v>5</v>
      </c>
      <c r="B29" s="21" t="n">
        <v>4</v>
      </c>
      <c r="C29" s="21" t="n">
        <v>5</v>
      </c>
      <c r="D29" s="21" t="n">
        <v>5</v>
      </c>
      <c r="E29" s="21" t="n">
        <v>5</v>
      </c>
      <c r="F29" s="21" t="n">
        <v>5</v>
      </c>
      <c r="G29" s="21" t="n">
        <v>6</v>
      </c>
    </row>
    <row r="30" customFormat="false" ht="15" hidden="false" customHeight="false" outlineLevel="0" collapsed="false">
      <c r="A30" s="20" t="n">
        <v>6</v>
      </c>
      <c r="B30" s="21" t="n">
        <v>5</v>
      </c>
      <c r="C30" s="21" t="n">
        <v>6</v>
      </c>
      <c r="D30" s="21" t="n">
        <v>6</v>
      </c>
      <c r="E30" s="21" t="n">
        <v>6</v>
      </c>
      <c r="F30" s="21" t="n">
        <v>6</v>
      </c>
      <c r="G30" s="21" t="n">
        <v>6</v>
      </c>
    </row>
    <row r="32" customFormat="false" ht="15" hidden="false" customHeight="false" outlineLevel="0" collapsed="false">
      <c r="A32" s="16" t="s">
        <v>482</v>
      </c>
      <c r="B32" s="17"/>
      <c r="C32" s="17"/>
      <c r="D32" s="17"/>
      <c r="E32" s="17"/>
      <c r="F32" s="17"/>
      <c r="G32" s="17"/>
      <c r="H32" s="17"/>
    </row>
    <row r="33" customFormat="false" ht="15" hidden="false" customHeight="false" outlineLevel="0" collapsed="false">
      <c r="A33" s="19" t="s">
        <v>481</v>
      </c>
      <c r="B33" s="9" t="s">
        <v>472</v>
      </c>
      <c r="C33" s="9" t="s">
        <v>473</v>
      </c>
      <c r="D33" s="9" t="s">
        <v>474</v>
      </c>
      <c r="E33" s="9" t="s">
        <v>475</v>
      </c>
      <c r="F33" s="9" t="s">
        <v>476</v>
      </c>
      <c r="H33" s="9" t="s">
        <v>477</v>
      </c>
    </row>
    <row r="34" customFormat="false" ht="15" hidden="false" customHeight="false" outlineLevel="0" collapsed="false">
      <c r="A34" s="20" t="n">
        <v>1</v>
      </c>
      <c r="B34" s="22" t="n">
        <f aca="false">INDEX($B$25:$G$30,1,2)-INDEX($B$25:$G$30,1,1)</f>
        <v>0</v>
      </c>
      <c r="C34" s="22" t="n">
        <f aca="false">INDEX($B$25:$G$30,1,3)-INDEX($B$25:$G$30,1,2)</f>
        <v>0</v>
      </c>
      <c r="D34" s="22" t="n">
        <f aca="false">INDEX($B$25:$G$30,1,4)-INDEX($B$25:$G$30,1,3)</f>
        <v>1</v>
      </c>
      <c r="E34" s="22" t="n">
        <f aca="false">INDEX($B$25:$G$30,1,5)-INDEX($B$25:$G$30,1,4)</f>
        <v>1</v>
      </c>
      <c r="F34" s="22" t="n">
        <f aca="false">INDEX($B$25:$G$30,1,6)-INDEX($B$25:$G$30,1,5)</f>
        <v>2</v>
      </c>
      <c r="H34" s="20" t="n">
        <f aca="false">MAX(B34:F34)</f>
        <v>2</v>
      </c>
    </row>
    <row r="35" customFormat="false" ht="15" hidden="false" customHeight="false" outlineLevel="0" collapsed="false">
      <c r="A35" s="20" t="n">
        <v>2</v>
      </c>
      <c r="B35" s="22" t="n">
        <f aca="false">INDEX($B$25:$G$30,2,2)-INDEX($B$25:$G$30,2,1)</f>
        <v>1</v>
      </c>
      <c r="C35" s="22" t="n">
        <f aca="false">INDEX($B$25:$G$30,2,3)-INDEX($B$25:$G$30,2,2)</f>
        <v>0</v>
      </c>
      <c r="D35" s="22" t="n">
        <f aca="false">INDEX($B$25:$G$30,2,4)-INDEX($B$25:$G$30,2,3)</f>
        <v>1</v>
      </c>
      <c r="E35" s="22" t="n">
        <f aca="false">INDEX($B$25:$G$30,2,5)-INDEX($B$25:$G$30,2,4)</f>
        <v>1</v>
      </c>
      <c r="F35" s="22" t="n">
        <f aca="false">INDEX($B$25:$G$30,2,6)-INDEX($B$25:$G$30,2,5)</f>
        <v>1</v>
      </c>
      <c r="H35" s="20" t="n">
        <f aca="false">MAX(B35:F35)</f>
        <v>1</v>
      </c>
    </row>
    <row r="36" customFormat="false" ht="15" hidden="false" customHeight="false" outlineLevel="0" collapsed="false">
      <c r="A36" s="20" t="n">
        <v>3</v>
      </c>
      <c r="B36" s="22" t="n">
        <f aca="false">INDEX($B$25:$G$30,3,2)-INDEX($B$25:$G$30,3,1)</f>
        <v>1</v>
      </c>
      <c r="C36" s="22" t="n">
        <f aca="false">INDEX($B$25:$G$30,3,3)-INDEX($B$25:$G$30,3,2)</f>
        <v>0</v>
      </c>
      <c r="D36" s="22" t="n">
        <f aca="false">INDEX($B$25:$G$30,3,4)-INDEX($B$25:$G$30,3,3)</f>
        <v>0</v>
      </c>
      <c r="E36" s="22" t="n">
        <f aca="false">INDEX($B$25:$G$30,3,5)-INDEX($B$25:$G$30,3,4)</f>
        <v>1</v>
      </c>
      <c r="F36" s="22" t="n">
        <f aca="false">INDEX($B$25:$G$30,3,6)-INDEX($B$25:$G$30,3,5)</f>
        <v>2</v>
      </c>
      <c r="H36" s="20" t="n">
        <f aca="false">MAX(B36:F36)</f>
        <v>2</v>
      </c>
    </row>
    <row r="37" customFormat="false" ht="15" hidden="false" customHeight="false" outlineLevel="0" collapsed="false">
      <c r="A37" s="20" t="n">
        <v>4</v>
      </c>
      <c r="B37" s="22" t="n">
        <f aca="false">INDEX($B$25:$G$30,4,2)-INDEX($B$25:$G$30,4,1)</f>
        <v>1</v>
      </c>
      <c r="C37" s="22" t="n">
        <f aca="false">INDEX($B$25:$G$30,4,3)-INDEX($B$25:$G$30,4,2)</f>
        <v>0</v>
      </c>
      <c r="D37" s="22" t="n">
        <f aca="false">INDEX($B$25:$G$30,4,4)-INDEX($B$25:$G$30,4,3)</f>
        <v>0</v>
      </c>
      <c r="E37" s="22" t="n">
        <f aca="false">INDEX($B$25:$G$30,4,5)-INDEX($B$25:$G$30,4,4)</f>
        <v>1</v>
      </c>
      <c r="F37" s="22" t="n">
        <f aca="false">INDEX($B$25:$G$30,4,6)-INDEX($B$25:$G$30,4,5)</f>
        <v>1</v>
      </c>
      <c r="H37" s="20" t="n">
        <f aca="false">MAX(B37:F37)</f>
        <v>1</v>
      </c>
    </row>
    <row r="38" customFormat="false" ht="15" hidden="false" customHeight="false" outlineLevel="0" collapsed="false">
      <c r="A38" s="20" t="n">
        <v>5</v>
      </c>
      <c r="B38" s="22" t="n">
        <f aca="false">INDEX($B$25:$G$30,5,2)-INDEX($B$25:$G$30,5,1)</f>
        <v>1</v>
      </c>
      <c r="C38" s="22" t="n">
        <f aca="false">INDEX($B$25:$G$30,5,3)-INDEX($B$25:$G$30,5,2)</f>
        <v>0</v>
      </c>
      <c r="D38" s="22" t="n">
        <f aca="false">INDEX($B$25:$G$30,5,4)-INDEX($B$25:$G$30,5,3)</f>
        <v>0</v>
      </c>
      <c r="E38" s="22" t="n">
        <f aca="false">INDEX($B$25:$G$30,5,5)-INDEX($B$25:$G$30,5,4)</f>
        <v>0</v>
      </c>
      <c r="F38" s="22" t="n">
        <f aca="false">INDEX($B$25:$G$30,5,6)-INDEX($B$25:$G$30,5,5)</f>
        <v>1</v>
      </c>
      <c r="H38" s="20" t="n">
        <f aca="false">MAX(B38:F38)</f>
        <v>1</v>
      </c>
    </row>
    <row r="39" customFormat="false" ht="15" hidden="false" customHeight="false" outlineLevel="0" collapsed="false">
      <c r="A39" s="20" t="n">
        <v>6</v>
      </c>
      <c r="B39" s="22" t="n">
        <f aca="false">INDEX($B$25:$G$30,6,2)-INDEX($B$25:$G$30,6,1)</f>
        <v>1</v>
      </c>
      <c r="C39" s="22" t="n">
        <f aca="false">INDEX($B$25:$G$30,6,3)-INDEX($B$25:$G$30,6,2)</f>
        <v>0</v>
      </c>
      <c r="D39" s="22" t="n">
        <f aca="false">INDEX($B$25:$G$30,6,4)-INDEX($B$25:$G$30,6,3)</f>
        <v>0</v>
      </c>
      <c r="E39" s="22" t="n">
        <f aca="false">INDEX($B$25:$G$30,6,5)-INDEX($B$25:$G$30,6,4)</f>
        <v>0</v>
      </c>
      <c r="F39" s="22" t="n">
        <f aca="false">INDEX($B$25:$G$30,6,6)-INDEX($B$25:$G$30,6,5)</f>
        <v>0</v>
      </c>
      <c r="H39" s="20" t="n">
        <f aca="false">MAX(B39:F39)</f>
        <v>1</v>
      </c>
    </row>
    <row r="40" customFormat="false" ht="15" hidden="false" customHeight="false" outlineLevel="0" collapsed="false">
      <c r="A40" s="3" t="s">
        <v>478</v>
      </c>
      <c r="H40" s="23" t="n">
        <f aca="false">MAX(B34:F39)</f>
        <v>2</v>
      </c>
    </row>
    <row r="42" customFormat="false" ht="15" hidden="false" customHeight="false" outlineLevel="0" collapsed="false">
      <c r="A42" s="16" t="s">
        <v>483</v>
      </c>
      <c r="B42" s="17"/>
      <c r="C42" s="17"/>
      <c r="D42" s="17"/>
      <c r="E42" s="17"/>
      <c r="F42" s="17"/>
      <c r="G42" s="17"/>
      <c r="H42" s="17"/>
      <c r="I42" s="18" t="s">
        <v>484</v>
      </c>
    </row>
    <row r="43" customFormat="false" ht="15" hidden="false" customHeight="false" outlineLevel="0" collapsed="false">
      <c r="A43" s="19" t="s">
        <v>485</v>
      </c>
      <c r="B43" s="8" t="n">
        <v>1</v>
      </c>
      <c r="C43" s="8" t="n">
        <v>2</v>
      </c>
      <c r="D43" s="8" t="n">
        <v>3</v>
      </c>
      <c r="E43" s="8" t="n">
        <v>4</v>
      </c>
      <c r="F43" s="8" t="n">
        <v>5</v>
      </c>
      <c r="G43" s="8" t="n">
        <v>6</v>
      </c>
    </row>
    <row r="44" customFormat="false" ht="15" hidden="false" customHeight="false" outlineLevel="0" collapsed="false">
      <c r="A44" s="20" t="n">
        <v>1</v>
      </c>
      <c r="B44" s="22" t="s">
        <v>486</v>
      </c>
      <c r="C44" s="22" t="s">
        <v>487</v>
      </c>
      <c r="D44" s="22" t="s">
        <v>488</v>
      </c>
      <c r="E44" s="22" t="s">
        <v>489</v>
      </c>
      <c r="F44" s="22" t="s">
        <v>490</v>
      </c>
      <c r="G44" s="22" t="s">
        <v>491</v>
      </c>
    </row>
    <row r="45" customFormat="false" ht="15" hidden="false" customHeight="false" outlineLevel="0" collapsed="false">
      <c r="A45" s="20" t="n">
        <v>2</v>
      </c>
      <c r="B45" s="22" t="s">
        <v>492</v>
      </c>
      <c r="C45" s="22" t="s">
        <v>488</v>
      </c>
      <c r="D45" s="22" t="s">
        <v>493</v>
      </c>
      <c r="E45" s="22" t="s">
        <v>490</v>
      </c>
      <c r="F45" s="22" t="s">
        <v>494</v>
      </c>
      <c r="G45" s="22" t="s">
        <v>495</v>
      </c>
    </row>
    <row r="46" customFormat="false" ht="15" hidden="false" customHeight="false" outlineLevel="0" collapsed="false">
      <c r="A46" s="20" t="n">
        <v>3</v>
      </c>
      <c r="B46" s="22" t="s">
        <v>496</v>
      </c>
      <c r="C46" s="22" t="s">
        <v>497</v>
      </c>
      <c r="D46" s="22" t="s">
        <v>498</v>
      </c>
      <c r="E46" s="22" t="s">
        <v>491</v>
      </c>
      <c r="F46" s="22" t="s">
        <v>495</v>
      </c>
      <c r="G46" s="22" t="s">
        <v>499</v>
      </c>
    </row>
    <row r="47" customFormat="false" ht="15" hidden="false" customHeight="false" outlineLevel="0" collapsed="false">
      <c r="A47" s="20" t="n">
        <v>4</v>
      </c>
      <c r="B47" s="22" t="s">
        <v>498</v>
      </c>
      <c r="C47" s="22" t="s">
        <v>500</v>
      </c>
      <c r="D47" s="22" t="s">
        <v>494</v>
      </c>
      <c r="E47" s="22" t="s">
        <v>495</v>
      </c>
      <c r="F47" s="22" t="s">
        <v>501</v>
      </c>
      <c r="G47" s="22" t="s">
        <v>502</v>
      </c>
    </row>
    <row r="48" customFormat="false" ht="15" hidden="false" customHeight="false" outlineLevel="0" collapsed="false">
      <c r="A48" s="20" t="n">
        <v>5</v>
      </c>
      <c r="B48" s="22" t="s">
        <v>494</v>
      </c>
      <c r="C48" s="22" t="s">
        <v>494</v>
      </c>
      <c r="D48" s="22" t="s">
        <v>495</v>
      </c>
      <c r="E48" s="22" t="s">
        <v>501</v>
      </c>
      <c r="F48" s="22" t="s">
        <v>499</v>
      </c>
      <c r="G48" s="22" t="s">
        <v>503</v>
      </c>
    </row>
    <row r="49" customFormat="false" ht="15" hidden="false" customHeight="false" outlineLevel="0" collapsed="false">
      <c r="A49" s="20" t="n">
        <v>6</v>
      </c>
      <c r="B49" s="22" t="s">
        <v>501</v>
      </c>
      <c r="C49" s="22" t="s">
        <v>501</v>
      </c>
      <c r="D49" s="22" t="s">
        <v>504</v>
      </c>
      <c r="E49" s="22" t="s">
        <v>499</v>
      </c>
      <c r="F49" s="22" t="s">
        <v>502</v>
      </c>
      <c r="G49" s="22" t="s">
        <v>505</v>
      </c>
    </row>
    <row r="51" customFormat="false" ht="15" hidden="false" customHeight="false" outlineLevel="0" collapsed="false">
      <c r="A51" s="16" t="s">
        <v>506</v>
      </c>
      <c r="B51" s="17"/>
      <c r="C51" s="17"/>
      <c r="D51" s="17"/>
      <c r="E51" s="17"/>
      <c r="F51" s="17"/>
      <c r="G51" s="17"/>
      <c r="H51" s="17"/>
    </row>
    <row r="52" customFormat="false" ht="15" hidden="false" customHeight="false" outlineLevel="0" collapsed="false">
      <c r="A52" s="19" t="s">
        <v>485</v>
      </c>
      <c r="B52" s="8" t="n">
        <v>1</v>
      </c>
      <c r="C52" s="8" t="n">
        <v>2</v>
      </c>
      <c r="D52" s="8" t="n">
        <v>3</v>
      </c>
      <c r="E52" s="8" t="n">
        <v>4</v>
      </c>
      <c r="F52" s="8" t="n">
        <v>5</v>
      </c>
      <c r="G52" s="8" t="n">
        <v>6</v>
      </c>
    </row>
    <row r="53" customFormat="false" ht="15" hidden="false" customHeight="false" outlineLevel="0" collapsed="false">
      <c r="A53" s="20" t="n">
        <v>1</v>
      </c>
      <c r="B53" s="21" t="n">
        <v>20</v>
      </c>
      <c r="C53" s="21" t="n">
        <v>18</v>
      </c>
      <c r="D53" s="21" t="n">
        <v>16</v>
      </c>
      <c r="E53" s="21" t="n">
        <v>14</v>
      </c>
      <c r="F53" s="21" t="n">
        <v>12</v>
      </c>
      <c r="G53" s="21" t="n">
        <v>11</v>
      </c>
    </row>
    <row r="54" customFormat="false" ht="15" hidden="false" customHeight="false" outlineLevel="0" collapsed="false">
      <c r="A54" s="20" t="n">
        <v>2</v>
      </c>
      <c r="B54" s="21" t="n">
        <v>18</v>
      </c>
      <c r="C54" s="21" t="n">
        <v>16</v>
      </c>
      <c r="D54" s="21" t="n">
        <v>14</v>
      </c>
      <c r="E54" s="21" t="n">
        <v>12</v>
      </c>
      <c r="F54" s="21" t="n">
        <v>10</v>
      </c>
      <c r="G54" s="21" t="n">
        <v>9</v>
      </c>
    </row>
    <row r="55" customFormat="false" ht="15" hidden="false" customHeight="false" outlineLevel="0" collapsed="false">
      <c r="A55" s="20" t="n">
        <v>3</v>
      </c>
      <c r="B55" s="21" t="n">
        <v>15</v>
      </c>
      <c r="C55" s="21" t="n">
        <v>13</v>
      </c>
      <c r="D55" s="21" t="n">
        <v>12</v>
      </c>
      <c r="E55" s="21" t="n">
        <v>11</v>
      </c>
      <c r="F55" s="21" t="n">
        <v>9</v>
      </c>
      <c r="G55" s="21" t="n">
        <v>7</v>
      </c>
    </row>
    <row r="56" customFormat="false" ht="15" hidden="false" customHeight="false" outlineLevel="0" collapsed="false">
      <c r="A56" s="20" t="n">
        <v>4</v>
      </c>
      <c r="B56" s="21" t="n">
        <v>12</v>
      </c>
      <c r="C56" s="21" t="n">
        <v>11</v>
      </c>
      <c r="D56" s="21" t="n">
        <v>10</v>
      </c>
      <c r="E56" s="21" t="n">
        <v>9</v>
      </c>
      <c r="F56" s="21" t="n">
        <v>8</v>
      </c>
      <c r="G56" s="21" t="n">
        <v>6</v>
      </c>
    </row>
    <row r="57" customFormat="false" ht="15" hidden="false" customHeight="false" outlineLevel="0" collapsed="false">
      <c r="A57" s="20" t="n">
        <v>5</v>
      </c>
      <c r="B57" s="21" t="n">
        <v>10</v>
      </c>
      <c r="C57" s="21" t="n">
        <v>10</v>
      </c>
      <c r="D57" s="21" t="n">
        <v>9</v>
      </c>
      <c r="E57" s="21" t="n">
        <v>8</v>
      </c>
      <c r="F57" s="21" t="n">
        <v>7</v>
      </c>
      <c r="G57" s="21" t="n">
        <v>6</v>
      </c>
    </row>
    <row r="58" customFormat="false" ht="15" hidden="false" customHeight="false" outlineLevel="0" collapsed="false">
      <c r="A58" s="20" t="n">
        <v>6</v>
      </c>
      <c r="B58" s="21" t="n">
        <v>8</v>
      </c>
      <c r="C58" s="21" t="n">
        <v>8</v>
      </c>
      <c r="D58" s="21" t="n">
        <v>8</v>
      </c>
      <c r="E58" s="21" t="n">
        <v>7</v>
      </c>
      <c r="F58" s="21" t="n">
        <v>6</v>
      </c>
      <c r="G58" s="21" t="n">
        <v>5</v>
      </c>
    </row>
    <row r="60" customFormat="false" ht="15" hidden="false" customHeight="false" outlineLevel="0" collapsed="false">
      <c r="A60" s="16" t="s">
        <v>507</v>
      </c>
      <c r="B60" s="17"/>
      <c r="C60" s="17"/>
      <c r="D60" s="17"/>
      <c r="E60" s="17"/>
      <c r="F60" s="17"/>
      <c r="G60" s="17"/>
      <c r="H60" s="17"/>
    </row>
    <row r="61" customFormat="false" ht="15" hidden="false" customHeight="false" outlineLevel="0" collapsed="false">
      <c r="A61" s="19" t="s">
        <v>485</v>
      </c>
      <c r="B61" s="8" t="n">
        <v>1</v>
      </c>
      <c r="C61" s="8" t="n">
        <v>2</v>
      </c>
      <c r="D61" s="8" t="n">
        <v>3</v>
      </c>
      <c r="E61" s="8" t="n">
        <v>4</v>
      </c>
      <c r="F61" s="8" t="n">
        <v>5</v>
      </c>
      <c r="G61" s="8" t="n">
        <v>6</v>
      </c>
    </row>
    <row r="62" customFormat="false" ht="15" hidden="false" customHeight="false" outlineLevel="0" collapsed="false">
      <c r="A62" s="20" t="n">
        <v>1</v>
      </c>
      <c r="B62" s="21" t="n">
        <v>19</v>
      </c>
      <c r="C62" s="21" t="n">
        <v>18</v>
      </c>
      <c r="D62" s="21" t="n">
        <v>15</v>
      </c>
      <c r="E62" s="21" t="n">
        <v>14</v>
      </c>
      <c r="F62" s="21" t="n">
        <v>12</v>
      </c>
      <c r="G62" s="21" t="n">
        <v>10</v>
      </c>
    </row>
    <row r="63" customFormat="false" ht="15" hidden="false" customHeight="false" outlineLevel="0" collapsed="false">
      <c r="A63" s="20" t="n">
        <v>2</v>
      </c>
      <c r="B63" s="21" t="n">
        <v>17</v>
      </c>
      <c r="C63" s="21" t="n">
        <v>15</v>
      </c>
      <c r="D63" s="21" t="n">
        <v>13</v>
      </c>
      <c r="E63" s="21" t="n">
        <v>12</v>
      </c>
      <c r="F63" s="21" t="n">
        <v>10</v>
      </c>
      <c r="G63" s="21" t="n">
        <v>9</v>
      </c>
    </row>
    <row r="64" customFormat="false" ht="15" hidden="false" customHeight="false" outlineLevel="0" collapsed="false">
      <c r="A64" s="20" t="n">
        <v>3</v>
      </c>
      <c r="B64" s="21" t="n">
        <v>14</v>
      </c>
      <c r="C64" s="21" t="n">
        <v>13</v>
      </c>
      <c r="D64" s="21" t="n">
        <v>11</v>
      </c>
      <c r="E64" s="21" t="n">
        <v>10</v>
      </c>
      <c r="F64" s="21" t="n">
        <v>9</v>
      </c>
      <c r="G64" s="21" t="n">
        <v>7</v>
      </c>
    </row>
    <row r="65" customFormat="false" ht="15" hidden="false" customHeight="false" outlineLevel="0" collapsed="false">
      <c r="A65" s="20" t="n">
        <v>4</v>
      </c>
      <c r="B65" s="21" t="n">
        <v>11</v>
      </c>
      <c r="C65" s="21" t="n">
        <v>11</v>
      </c>
      <c r="D65" s="21" t="n">
        <v>10</v>
      </c>
      <c r="E65" s="21" t="n">
        <v>9</v>
      </c>
      <c r="F65" s="21" t="n">
        <v>8</v>
      </c>
      <c r="G65" s="21" t="n">
        <v>6</v>
      </c>
    </row>
    <row r="66" customFormat="false" ht="15" hidden="false" customHeight="false" outlineLevel="0" collapsed="false">
      <c r="A66" s="20" t="n">
        <v>5</v>
      </c>
      <c r="B66" s="21" t="n">
        <v>10</v>
      </c>
      <c r="C66" s="21" t="n">
        <v>10</v>
      </c>
      <c r="D66" s="21" t="n">
        <v>9</v>
      </c>
      <c r="E66" s="21" t="n">
        <v>8</v>
      </c>
      <c r="F66" s="21" t="n">
        <v>7</v>
      </c>
      <c r="G66" s="21" t="n">
        <v>5</v>
      </c>
    </row>
    <row r="67" customFormat="false" ht="15" hidden="false" customHeight="false" outlineLevel="0" collapsed="false">
      <c r="A67" s="20" t="n">
        <v>6</v>
      </c>
      <c r="B67" s="21" t="n">
        <v>8</v>
      </c>
      <c r="C67" s="21" t="n">
        <v>8</v>
      </c>
      <c r="D67" s="21" t="n">
        <v>7</v>
      </c>
      <c r="E67" s="21" t="n">
        <v>7</v>
      </c>
      <c r="F67" s="21" t="n">
        <v>6</v>
      </c>
      <c r="G67" s="21" t="n">
        <v>5</v>
      </c>
    </row>
    <row r="69" customFormat="false" ht="15" hidden="false" customHeight="false" outlineLevel="0" collapsed="false">
      <c r="A69" s="16" t="s">
        <v>508</v>
      </c>
      <c r="B69" s="17"/>
      <c r="C69" s="17"/>
      <c r="D69" s="17"/>
      <c r="E69" s="17"/>
      <c r="F69" s="17"/>
      <c r="G69" s="17"/>
      <c r="H69" s="17"/>
    </row>
    <row r="70" customFormat="false" ht="15" hidden="false" customHeight="false" outlineLevel="0" collapsed="false">
      <c r="A70" s="24" t="s">
        <v>509</v>
      </c>
      <c r="B70" s="24" t="s">
        <v>510</v>
      </c>
    </row>
    <row r="71" customFormat="false" ht="15" hidden="false" customHeight="false" outlineLevel="0" collapsed="false">
      <c r="A71" s="6" t="s">
        <v>511</v>
      </c>
      <c r="B71" s="25" t="n">
        <v>20</v>
      </c>
    </row>
    <row r="72" customFormat="false" ht="15" hidden="false" customHeight="false" outlineLevel="0" collapsed="false">
      <c r="A72" s="6" t="s">
        <v>512</v>
      </c>
      <c r="B72" s="25" t="n">
        <v>19</v>
      </c>
    </row>
    <row r="73" customFormat="false" ht="15" hidden="false" customHeight="false" outlineLevel="0" collapsed="false">
      <c r="A73" s="6" t="s">
        <v>487</v>
      </c>
      <c r="B73" s="25" t="n">
        <v>18</v>
      </c>
    </row>
    <row r="74" customFormat="false" ht="15" hidden="false" customHeight="false" outlineLevel="0" collapsed="false">
      <c r="A74" s="6" t="s">
        <v>513</v>
      </c>
      <c r="B74" s="25" t="n">
        <v>17</v>
      </c>
    </row>
    <row r="75" customFormat="false" ht="15" hidden="false" customHeight="false" outlineLevel="0" collapsed="false">
      <c r="A75" s="6" t="s">
        <v>514</v>
      </c>
      <c r="B75" s="25" t="n">
        <v>16</v>
      </c>
    </row>
    <row r="76" customFormat="false" ht="15" hidden="false" customHeight="false" outlineLevel="0" collapsed="false">
      <c r="A76" s="6" t="s">
        <v>515</v>
      </c>
      <c r="B76" s="25" t="n">
        <v>15</v>
      </c>
    </row>
    <row r="77" customFormat="false" ht="15" hidden="false" customHeight="false" outlineLevel="0" collapsed="false">
      <c r="A77" s="6" t="s">
        <v>489</v>
      </c>
      <c r="B77" s="25" t="n">
        <v>14</v>
      </c>
    </row>
    <row r="78" customFormat="false" ht="15" hidden="false" customHeight="false" outlineLevel="0" collapsed="false">
      <c r="A78" s="6" t="s">
        <v>497</v>
      </c>
      <c r="B78" s="25" t="n">
        <v>13</v>
      </c>
    </row>
    <row r="79" customFormat="false" ht="15" hidden="false" customHeight="false" outlineLevel="0" collapsed="false">
      <c r="A79" s="6" t="s">
        <v>490</v>
      </c>
      <c r="B79" s="25" t="n">
        <v>12</v>
      </c>
    </row>
    <row r="80" customFormat="false" ht="15" hidden="false" customHeight="false" outlineLevel="0" collapsed="false">
      <c r="A80" s="6" t="s">
        <v>500</v>
      </c>
      <c r="B80" s="25" t="n">
        <v>11</v>
      </c>
    </row>
    <row r="81" customFormat="false" ht="15" hidden="false" customHeight="false" outlineLevel="0" collapsed="false">
      <c r="A81" s="6" t="s">
        <v>494</v>
      </c>
      <c r="B81" s="25" t="n">
        <v>10</v>
      </c>
    </row>
    <row r="82" customFormat="false" ht="15" hidden="false" customHeight="false" outlineLevel="0" collapsed="false">
      <c r="A82" s="6" t="s">
        <v>495</v>
      </c>
      <c r="B82" s="25" t="n">
        <v>9</v>
      </c>
    </row>
    <row r="83" customFormat="false" ht="15" hidden="false" customHeight="false" outlineLevel="0" collapsed="false">
      <c r="A83" s="6" t="s">
        <v>501</v>
      </c>
      <c r="B83" s="25" t="n">
        <v>8</v>
      </c>
    </row>
    <row r="84" customFormat="false" ht="15" hidden="false" customHeight="false" outlineLevel="0" collapsed="false">
      <c r="A84" s="6" t="s">
        <v>499</v>
      </c>
      <c r="B84" s="25" t="n">
        <v>7</v>
      </c>
    </row>
    <row r="85" customFormat="false" ht="15" hidden="false" customHeight="false" outlineLevel="0" collapsed="false">
      <c r="A85" s="6" t="s">
        <v>502</v>
      </c>
      <c r="B85" s="25" t="n">
        <v>6</v>
      </c>
    </row>
    <row r="86" customFormat="false" ht="15" hidden="false" customHeight="false" outlineLevel="0" collapsed="false">
      <c r="A86" s="6" t="s">
        <v>505</v>
      </c>
      <c r="B86" s="25" t="n">
        <v>5</v>
      </c>
    </row>
    <row r="88" customFormat="false" ht="15" hidden="false" customHeight="false" outlineLevel="0" collapsed="false">
      <c r="A88" s="26" t="s">
        <v>516</v>
      </c>
      <c r="B88" s="17"/>
      <c r="C88" s="17"/>
      <c r="D88" s="17"/>
      <c r="E88" s="17"/>
      <c r="F88" s="17"/>
      <c r="G88" s="17"/>
      <c r="H88" s="17"/>
      <c r="I88" s="17"/>
      <c r="J88" s="17"/>
      <c r="K88" s="17"/>
      <c r="L88" s="17"/>
      <c r="M88" s="17"/>
      <c r="N88" s="17"/>
    </row>
    <row r="89" customFormat="false" ht="23.85" hidden="false" customHeight="false" outlineLevel="0" collapsed="false">
      <c r="A89" s="9" t="s">
        <v>517</v>
      </c>
      <c r="B89" s="9" t="s">
        <v>518</v>
      </c>
      <c r="C89" s="9" t="s">
        <v>519</v>
      </c>
      <c r="D89" s="9" t="s">
        <v>520</v>
      </c>
      <c r="E89" s="9" t="s">
        <v>521</v>
      </c>
      <c r="F89" s="9" t="s">
        <v>522</v>
      </c>
      <c r="G89" s="9" t="s">
        <v>523</v>
      </c>
      <c r="H89" s="9" t="s">
        <v>524</v>
      </c>
      <c r="I89" s="9" t="s">
        <v>525</v>
      </c>
      <c r="J89" s="9" t="s">
        <v>526</v>
      </c>
      <c r="K89" s="9" t="s">
        <v>527</v>
      </c>
      <c r="L89" s="9" t="s">
        <v>528</v>
      </c>
      <c r="M89" s="9" t="s">
        <v>529</v>
      </c>
      <c r="N89" s="9" t="s">
        <v>530</v>
      </c>
    </row>
    <row r="90" customFormat="false" ht="29.85" hidden="false" customHeight="false" outlineLevel="0" collapsed="false">
      <c r="A90" s="11" t="s">
        <v>531</v>
      </c>
      <c r="B90" s="21" t="n">
        <v>3</v>
      </c>
      <c r="C90" s="21" t="n">
        <v>5</v>
      </c>
      <c r="D90" s="21" t="n">
        <v>6</v>
      </c>
      <c r="E90" s="21" t="n">
        <v>1</v>
      </c>
      <c r="F90" s="21" t="n">
        <v>1</v>
      </c>
      <c r="G90" s="22" t="n">
        <f aca="false">INDEX($B$6:$G$11,B90,C90)</f>
        <v>4</v>
      </c>
      <c r="H90" s="22" t="n">
        <f aca="false">INDEX($B$6:$G$11,B90,D90)</f>
        <v>6</v>
      </c>
      <c r="I90" s="22" t="n">
        <f aca="false">INDEX($B$25:$G$30,E90,G90)</f>
        <v>2</v>
      </c>
      <c r="J90" s="22" t="n">
        <f aca="false">INDEX($B$25:$G$30,E90,H90)</f>
        <v>5</v>
      </c>
      <c r="K90" s="22" t="str">
        <f aca="false">INDEX($B$44:$G$49,I90,F90)</f>
        <v>aa/aa-</v>
      </c>
      <c r="L90" s="22" t="str">
        <f aca="false">INDEX($B$44:$G$49,J90,F90)</f>
        <v>bb+</v>
      </c>
      <c r="M90" s="22" t="n">
        <f aca="false">IF(I90=J90,0,INDEX($B$53:$G$58,I90,F90)-INDEX($B$62:$G$67,J90,F90))</f>
        <v>8</v>
      </c>
      <c r="N90" s="22" t="n">
        <f aca="false">MAX(0,INDEX($B$62:$G$67,I90,F90)-INDEX($B$53:$G$58,J90,F90))</f>
        <v>7</v>
      </c>
    </row>
    <row r="91" customFormat="false" ht="29.85" hidden="false" customHeight="false" outlineLevel="0" collapsed="false">
      <c r="A91" s="11" t="s">
        <v>532</v>
      </c>
      <c r="B91" s="21" t="n">
        <v>3</v>
      </c>
      <c r="C91" s="21" t="n">
        <v>5</v>
      </c>
      <c r="D91" s="21" t="n">
        <v>6</v>
      </c>
      <c r="E91" s="21" t="n">
        <v>3</v>
      </c>
      <c r="F91" s="21" t="n">
        <v>1</v>
      </c>
      <c r="G91" s="22" t="n">
        <f aca="false">INDEX($B$6:$G$11,B91,C91)</f>
        <v>4</v>
      </c>
      <c r="H91" s="22" t="n">
        <f aca="false">INDEX($B$6:$G$11,B91,D91)</f>
        <v>6</v>
      </c>
      <c r="I91" s="22" t="n">
        <f aca="false">INDEX($B$25:$G$30,E91,G91)</f>
        <v>3</v>
      </c>
      <c r="J91" s="22" t="n">
        <f aca="false">INDEX($B$25:$G$30,E91,H91)</f>
        <v>6</v>
      </c>
      <c r="K91" s="22" t="str">
        <f aca="false">INDEX($B$44:$G$49,I91,F91)</f>
        <v>a/a-</v>
      </c>
      <c r="L91" s="22" t="str">
        <f aca="false">INDEX($B$44:$G$49,J91,F91)</f>
        <v>bb-</v>
      </c>
      <c r="M91" s="22" t="n">
        <f aca="false">IF(I91=J91,0,INDEX($B$53:$G$58,I91,F91)-INDEX($B$62:$G$67,J91,F91))</f>
        <v>7</v>
      </c>
      <c r="N91" s="22" t="n">
        <f aca="false">MAX(0,INDEX($B$62:$G$67,I91,F91)-INDEX($B$53:$G$58,J91,F91))</f>
        <v>6</v>
      </c>
    </row>
    <row r="92" customFormat="false" ht="15" hidden="false" customHeight="false" outlineLevel="0" collapsed="false">
      <c r="A92" s="10" t="s">
        <v>533</v>
      </c>
      <c r="B92" s="21" t="n">
        <v>3</v>
      </c>
      <c r="C92" s="21" t="n">
        <v>5</v>
      </c>
      <c r="D92" s="21" t="n">
        <v>6</v>
      </c>
      <c r="E92" s="21" t="n">
        <v>3</v>
      </c>
      <c r="F92" s="21" t="n">
        <v>3</v>
      </c>
      <c r="G92" s="22" t="n">
        <f aca="false">INDEX($B$6:$G$11,B92,C92)</f>
        <v>4</v>
      </c>
      <c r="H92" s="22" t="n">
        <f aca="false">INDEX($B$6:$G$11,B92,D92)</f>
        <v>6</v>
      </c>
      <c r="I92" s="22" t="n">
        <f aca="false">INDEX($B$25:$G$30,E92,G92)</f>
        <v>3</v>
      </c>
      <c r="J92" s="22" t="n">
        <f aca="false">INDEX($B$25:$G$30,E92,H92)</f>
        <v>6</v>
      </c>
      <c r="K92" s="22" t="str">
        <f aca="false">INDEX($B$44:$G$49,I92,F92)</f>
        <v>bbb/bbb-</v>
      </c>
      <c r="L92" s="22" t="str">
        <f aca="false">INDEX($B$44:$G$49,J92,F92)</f>
        <v>bb-/b+</v>
      </c>
      <c r="M92" s="22" t="n">
        <f aca="false">IF(I92=J92,0,INDEX($B$53:$G$58,I92,F92)-INDEX($B$62:$G$67,J92,F92))</f>
        <v>5</v>
      </c>
      <c r="N92" s="22" t="n">
        <f aca="false">MAX(0,INDEX($B$62:$G$67,I92,F92)-INDEX($B$53:$G$58,J92,F92))</f>
        <v>3</v>
      </c>
    </row>
    <row r="93" customFormat="false" ht="15" hidden="false" customHeight="false" outlineLevel="0" collapsed="false">
      <c r="A93" s="10" t="s">
        <v>534</v>
      </c>
      <c r="B93" s="21" t="n">
        <v>1</v>
      </c>
      <c r="C93" s="21" t="n">
        <v>4</v>
      </c>
      <c r="D93" s="21" t="n">
        <v>5</v>
      </c>
      <c r="E93" s="21" t="n">
        <v>1</v>
      </c>
      <c r="F93" s="21" t="n">
        <v>2</v>
      </c>
      <c r="G93" s="22" t="n">
        <f aca="false">INDEX($B$6:$G$11,B93,C93)</f>
        <v>2</v>
      </c>
      <c r="H93" s="22" t="n">
        <f aca="false">INDEX($B$6:$G$11,B93,D93)</f>
        <v>4</v>
      </c>
      <c r="I93" s="22" t="n">
        <f aca="false">INDEX($B$25:$G$30,E93,G93)</f>
        <v>1</v>
      </c>
      <c r="J93" s="22" t="n">
        <f aca="false">INDEX($B$25:$G$30,E93,H93)</f>
        <v>2</v>
      </c>
      <c r="K93" s="22" t="str">
        <f aca="false">INDEX($B$44:$G$49,I93,F93)</f>
        <v>aa</v>
      </c>
      <c r="L93" s="22" t="str">
        <f aca="false">INDEX($B$44:$G$49,J93,F93)</f>
        <v>a+/a</v>
      </c>
      <c r="M93" s="22" t="n">
        <f aca="false">IF(I93=J93,0,INDEX($B$53:$G$58,I93,F93)-INDEX($B$62:$G$67,J93,F93))</f>
        <v>3</v>
      </c>
      <c r="N93" s="22" t="n">
        <f aca="false">MAX(0,INDEX($B$62:$G$67,I93,F93)-INDEX($B$53:$G$58,J93,F93))</f>
        <v>2</v>
      </c>
    </row>
    <row r="94" customFormat="false" ht="15" hidden="false" customHeight="false" outlineLevel="0" collapsed="false">
      <c r="A94" s="10" t="s">
        <v>535</v>
      </c>
      <c r="B94" s="21" t="n">
        <v>1</v>
      </c>
      <c r="C94" s="21" t="n">
        <v>4</v>
      </c>
      <c r="D94" s="21" t="n">
        <v>5</v>
      </c>
      <c r="E94" s="21" t="n">
        <v>2</v>
      </c>
      <c r="F94" s="21" t="n">
        <v>3</v>
      </c>
      <c r="G94" s="22" t="n">
        <f aca="false">INDEX($B$6:$G$11,B94,C94)</f>
        <v>2</v>
      </c>
      <c r="H94" s="22" t="n">
        <f aca="false">INDEX($B$6:$G$11,B94,D94)</f>
        <v>4</v>
      </c>
      <c r="I94" s="22" t="n">
        <f aca="false">INDEX($B$25:$G$30,E94,G94)</f>
        <v>2</v>
      </c>
      <c r="J94" s="22" t="n">
        <f aca="false">INDEX($B$25:$G$30,E94,H94)</f>
        <v>3</v>
      </c>
      <c r="K94" s="22" t="str">
        <f aca="false">INDEX($B$44:$G$49,I94,F94)</f>
        <v>a-/bbb+</v>
      </c>
      <c r="L94" s="22" t="str">
        <f aca="false">INDEX($B$44:$G$49,J94,F94)</f>
        <v>bbb/bbb-</v>
      </c>
      <c r="M94" s="22" t="n">
        <f aca="false">IF(I94=J94,0,INDEX($B$53:$G$58,I94,F94)-INDEX($B$62:$G$67,J94,F94))</f>
        <v>3</v>
      </c>
      <c r="N94" s="22" t="n">
        <f aca="false">MAX(0,INDEX($B$62:$G$67,I94,F94)-INDEX($B$53:$G$58,J94,F94))</f>
        <v>1</v>
      </c>
    </row>
    <row r="95" customFormat="false" ht="15" hidden="false" customHeight="false" outlineLevel="0" collapsed="false">
      <c r="A95" s="10" t="s">
        <v>536</v>
      </c>
      <c r="B95" s="21" t="n">
        <v>3</v>
      </c>
      <c r="C95" s="21" t="n">
        <v>5</v>
      </c>
      <c r="D95" s="21" t="n">
        <v>6</v>
      </c>
      <c r="E95" s="21" t="n">
        <v>1</v>
      </c>
      <c r="F95" s="21" t="n">
        <v>3</v>
      </c>
      <c r="G95" s="22" t="n">
        <f aca="false">INDEX($B$6:$G$11,B95,C95)</f>
        <v>4</v>
      </c>
      <c r="H95" s="22" t="n">
        <f aca="false">INDEX($B$6:$G$11,B95,D95)</f>
        <v>6</v>
      </c>
      <c r="I95" s="22" t="n">
        <f aca="false">INDEX($B$25:$G$30,E95,G95)</f>
        <v>2</v>
      </c>
      <c r="J95" s="22" t="n">
        <f aca="false">INDEX($B$25:$G$30,E95,H95)</f>
        <v>5</v>
      </c>
      <c r="K95" s="22" t="str">
        <f aca="false">INDEX($B$44:$G$49,I95,F95)</f>
        <v>a-/bbb+</v>
      </c>
      <c r="L95" s="22" t="str">
        <f aca="false">INDEX($B$44:$G$49,J95,F95)</f>
        <v>bb</v>
      </c>
      <c r="M95" s="22" t="n">
        <f aca="false">IF(I95=J95,0,INDEX($B$53:$G$58,I95,F95)-INDEX($B$62:$G$67,J95,F95))</f>
        <v>5</v>
      </c>
      <c r="N95" s="22" t="n">
        <f aca="false">MAX(0,INDEX($B$62:$G$67,I95,F95)-INDEX($B$53:$G$58,J95,F95))</f>
        <v>4</v>
      </c>
    </row>
    <row r="96" customFormat="false" ht="15" hidden="false" customHeight="false" outlineLevel="0" collapsed="false">
      <c r="A96" s="11" t="s">
        <v>537</v>
      </c>
      <c r="B96" s="21" t="n">
        <v>2</v>
      </c>
      <c r="C96" s="21" t="n">
        <v>3</v>
      </c>
      <c r="D96" s="21" t="n">
        <v>4</v>
      </c>
      <c r="E96" s="21" t="n">
        <v>2</v>
      </c>
      <c r="F96" s="21" t="n">
        <v>3</v>
      </c>
      <c r="G96" s="22" t="n">
        <f aca="false">INDEX($B$6:$G$11,B96,C96)</f>
        <v>2</v>
      </c>
      <c r="H96" s="22" t="n">
        <f aca="false">INDEX($B$6:$G$11,B96,D96)</f>
        <v>3</v>
      </c>
      <c r="I96" s="22" t="n">
        <f aca="false">INDEX($B$25:$G$30,E96,G96)</f>
        <v>2</v>
      </c>
      <c r="J96" s="22" t="n">
        <f aca="false">INDEX($B$25:$G$30,E96,H96)</f>
        <v>2</v>
      </c>
      <c r="K96" s="22" t="str">
        <f aca="false">INDEX($B$44:$G$49,I96,F96)</f>
        <v>a-/bbb+</v>
      </c>
      <c r="L96" s="22" t="str">
        <f aca="false">INDEX($B$44:$G$49,J96,F96)</f>
        <v>a-/bbb+</v>
      </c>
      <c r="M96" s="22" t="n">
        <f aca="false">IF(I96=J96,0,INDEX($B$53:$G$58,I96,F96)-INDEX($B$62:$G$67,J96,F96))</f>
        <v>0</v>
      </c>
      <c r="N96" s="22" t="n">
        <f aca="false">MAX(0,INDEX($B$62:$G$67,I96,F96)-INDEX($B$53:$G$58,J96,F96))</f>
        <v>0</v>
      </c>
    </row>
    <row r="97" customFormat="false" ht="15" hidden="false" customHeight="false" outlineLevel="0" collapsed="false">
      <c r="A97" s="11" t="s">
        <v>538</v>
      </c>
      <c r="B97" s="21" t="n">
        <v>4</v>
      </c>
      <c r="C97" s="21" t="n">
        <v>3</v>
      </c>
      <c r="D97" s="21" t="n">
        <v>4</v>
      </c>
      <c r="E97" s="21" t="n">
        <v>3</v>
      </c>
      <c r="F97" s="21" t="n">
        <v>4</v>
      </c>
      <c r="G97" s="22" t="n">
        <f aca="false">INDEX($B$6:$G$11,B97,C97)</f>
        <v>4</v>
      </c>
      <c r="H97" s="22" t="n">
        <f aca="false">INDEX($B$6:$G$11,B97,D97)</f>
        <v>4</v>
      </c>
      <c r="I97" s="22" t="n">
        <f aca="false">INDEX($B$25:$G$30,E97,G97)</f>
        <v>3</v>
      </c>
      <c r="J97" s="22" t="n">
        <f aca="false">INDEX($B$25:$G$30,E97,H97)</f>
        <v>3</v>
      </c>
      <c r="K97" s="22" t="str">
        <f aca="false">INDEX($B$44:$G$49,I97,F97)</f>
        <v>bbb-/bb+</v>
      </c>
      <c r="L97" s="22" t="str">
        <f aca="false">INDEX($B$44:$G$49,J97,F97)</f>
        <v>bbb-/bb+</v>
      </c>
      <c r="M97" s="22" t="n">
        <f aca="false">IF(I97=J97,0,INDEX($B$53:$G$58,I97,F97)-INDEX($B$62:$G$67,J97,F97))</f>
        <v>0</v>
      </c>
      <c r="N97" s="22" t="n">
        <f aca="false">MAX(0,INDEX($B$62:$G$67,I97,F97)-INDEX($B$53:$G$58,J97,F97))</f>
        <v>0</v>
      </c>
    </row>
    <row r="98" customFormat="false" ht="15" hidden="false" customHeight="false" outlineLevel="0" collapsed="false">
      <c r="A98" s="10" t="s">
        <v>539</v>
      </c>
      <c r="B98" s="21" t="n">
        <v>2</v>
      </c>
      <c r="C98" s="21" t="n">
        <v>1</v>
      </c>
      <c r="D98" s="21" t="n">
        <v>2</v>
      </c>
      <c r="E98" s="21" t="n">
        <v>2</v>
      </c>
      <c r="F98" s="21" t="n">
        <v>3</v>
      </c>
      <c r="G98" s="22" t="n">
        <f aca="false">INDEX($B$6:$G$11,B98,C98)</f>
        <v>2</v>
      </c>
      <c r="H98" s="22" t="n">
        <f aca="false">INDEX($B$6:$G$11,B98,D98)</f>
        <v>2</v>
      </c>
      <c r="I98" s="22" t="n">
        <f aca="false">INDEX($B$25:$G$30,E98,G98)</f>
        <v>2</v>
      </c>
      <c r="J98" s="22" t="n">
        <f aca="false">INDEX($B$25:$G$30,E98,H98)</f>
        <v>2</v>
      </c>
      <c r="K98" s="22" t="str">
        <f aca="false">INDEX($B$44:$G$49,I98,F98)</f>
        <v>a-/bbb+</v>
      </c>
      <c r="L98" s="22" t="str">
        <f aca="false">INDEX($B$44:$G$49,J98,F98)</f>
        <v>a-/bbb+</v>
      </c>
      <c r="M98" s="22" t="n">
        <f aca="false">IF(I98=J98,0,INDEX($B$53:$G$58,I98,F98)-INDEX($B$62:$G$67,J98,F98))</f>
        <v>0</v>
      </c>
      <c r="N98" s="22" t="n">
        <f aca="false">MAX(0,INDEX($B$62:$G$67,I98,F98)-INDEX($B$53:$G$58,J98,F98))</f>
        <v>0</v>
      </c>
    </row>
    <row r="99" customFormat="false" ht="15" hidden="false" customHeight="false" outlineLevel="0" collapsed="false">
      <c r="A99" s="10" t="s">
        <v>540</v>
      </c>
      <c r="B99" s="21" t="n">
        <v>2</v>
      </c>
      <c r="C99" s="21" t="n">
        <v>3</v>
      </c>
      <c r="D99" s="21" t="n">
        <v>4</v>
      </c>
      <c r="E99" s="21" t="n">
        <v>3</v>
      </c>
      <c r="F99" s="21" t="n">
        <v>4</v>
      </c>
      <c r="G99" s="22" t="n">
        <f aca="false">INDEX($B$6:$G$11,B99,C99)</f>
        <v>2</v>
      </c>
      <c r="H99" s="22" t="n">
        <f aca="false">INDEX($B$6:$G$11,B99,D99)</f>
        <v>3</v>
      </c>
      <c r="I99" s="22" t="n">
        <f aca="false">INDEX($B$25:$G$30,E99,G99)</f>
        <v>3</v>
      </c>
      <c r="J99" s="22" t="n">
        <f aca="false">INDEX($B$25:$G$30,E99,H99)</f>
        <v>3</v>
      </c>
      <c r="K99" s="22" t="str">
        <f aca="false">INDEX($B$44:$G$49,I99,F99)</f>
        <v>bbb-/bb+</v>
      </c>
      <c r="L99" s="22" t="str">
        <f aca="false">INDEX($B$44:$G$49,J99,F99)</f>
        <v>bbb-/bb+</v>
      </c>
      <c r="M99" s="22" t="n">
        <f aca="false">IF(I99=J99,0,INDEX($B$53:$G$58,I99,F99)-INDEX($B$62:$G$67,J99,F99))</f>
        <v>0</v>
      </c>
      <c r="N99" s="22" t="n">
        <f aca="false">MAX(0,INDEX($B$62:$G$67,I99,F99)-INDEX($B$53:$G$58,J99,F99))</f>
        <v>0</v>
      </c>
    </row>
    <row r="101" customFormat="false" ht="15" hidden="false" customHeight="false" outlineLevel="0" collapsed="false">
      <c r="A101" s="26" t="s">
        <v>541</v>
      </c>
      <c r="B101" s="17"/>
      <c r="C101" s="17"/>
      <c r="D101" s="17"/>
      <c r="E101" s="17"/>
      <c r="F101" s="17"/>
      <c r="G101" s="17"/>
      <c r="H101" s="17"/>
      <c r="I101" s="17"/>
      <c r="J101" s="17"/>
      <c r="K101" s="17"/>
      <c r="L101" s="17"/>
      <c r="M101" s="17"/>
      <c r="N101" s="17"/>
    </row>
    <row r="102" customFormat="false" ht="15" hidden="false" customHeight="false" outlineLevel="0" collapsed="false">
      <c r="A102" s="27" t="s">
        <v>542</v>
      </c>
      <c r="B102" s="27"/>
      <c r="C102" s="27"/>
      <c r="D102" s="27"/>
      <c r="E102" s="27"/>
      <c r="F102" s="27"/>
      <c r="G102" s="23" t="n">
        <f aca="false">H21</f>
        <v>2</v>
      </c>
    </row>
    <row r="103" customFormat="false" ht="15" hidden="false" customHeight="false" outlineLevel="0" collapsed="false">
      <c r="A103" s="27" t="s">
        <v>543</v>
      </c>
      <c r="B103" s="27"/>
      <c r="C103" s="27"/>
      <c r="D103" s="27"/>
      <c r="E103" s="27"/>
      <c r="F103" s="27"/>
      <c r="G103" s="23" t="n">
        <f aca="false">H40</f>
        <v>2</v>
      </c>
    </row>
    <row r="104" customFormat="false" ht="15" hidden="false" customHeight="false" outlineLevel="0" collapsed="false">
      <c r="A104" s="28" t="s">
        <v>544</v>
      </c>
      <c r="B104" s="28"/>
      <c r="C104" s="28"/>
      <c r="D104" s="28"/>
      <c r="E104" s="28"/>
      <c r="F104" s="28"/>
      <c r="G104" s="23" t="n">
        <f aca="false">MAX(M90:M99)</f>
        <v>8</v>
      </c>
    </row>
    <row r="105" customFormat="false" ht="15" hidden="false" customHeight="true" outlineLevel="0" collapsed="false">
      <c r="A105" s="29" t="s">
        <v>545</v>
      </c>
      <c r="B105" s="29"/>
      <c r="C105" s="29"/>
      <c r="D105" s="29"/>
      <c r="E105" s="29"/>
      <c r="F105" s="29"/>
      <c r="G105" s="29"/>
      <c r="H105" s="29"/>
      <c r="I105" s="29"/>
      <c r="J105" s="29"/>
      <c r="K105" s="29"/>
      <c r="L105" s="29"/>
      <c r="M105" s="29"/>
      <c r="N105" s="29"/>
    </row>
    <row r="106" customFormat="false" ht="15" hidden="false" customHeight="false" outlineLevel="0" collapsed="false">
      <c r="A106" s="29"/>
      <c r="B106" s="29"/>
      <c r="C106" s="29"/>
      <c r="D106" s="29"/>
      <c r="E106" s="29"/>
      <c r="F106" s="29"/>
      <c r="G106" s="29"/>
      <c r="H106" s="29"/>
      <c r="I106" s="29"/>
      <c r="J106" s="29"/>
      <c r="K106" s="29"/>
      <c r="L106" s="29"/>
      <c r="M106" s="29"/>
      <c r="N106" s="29"/>
    </row>
    <row r="107" customFormat="false" ht="15" hidden="false" customHeight="false" outlineLevel="0" collapsed="false">
      <c r="A107" s="29"/>
      <c r="B107" s="29"/>
      <c r="C107" s="29"/>
      <c r="D107" s="29"/>
      <c r="E107" s="29"/>
      <c r="F107" s="29"/>
      <c r="G107" s="29"/>
      <c r="H107" s="29"/>
      <c r="I107" s="29"/>
      <c r="J107" s="29"/>
      <c r="K107" s="29"/>
      <c r="L107" s="29"/>
      <c r="M107" s="29"/>
      <c r="N107" s="29"/>
    </row>
  </sheetData>
  <mergeCells count="4">
    <mergeCell ref="A102:F102"/>
    <mergeCell ref="A103:F103"/>
    <mergeCell ref="A104:F104"/>
    <mergeCell ref="A105:N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0"/>
    <col collapsed="false" customWidth="true" hidden="false" outlineLevel="0" max="4" min="4" style="0" width="10"/>
    <col collapsed="false" customWidth="true" hidden="false" outlineLevel="0" max="5" min="5" style="0" width="40"/>
    <col collapsed="false" customWidth="true" hidden="false" outlineLevel="0" max="6" min="6" style="0" width="10"/>
    <col collapsed="false" customWidth="true" hidden="false" outlineLevel="0" max="7" min="7" style="0" width="22"/>
    <col collapsed="false" customWidth="true" hidden="false" outlineLevel="0" max="9" min="8" style="0" width="45"/>
  </cols>
  <sheetData>
    <row r="1" customFormat="false" ht="20.1" hidden="false" customHeight="false" outlineLevel="0" collapsed="false">
      <c r="A1" s="15" t="s">
        <v>546</v>
      </c>
    </row>
    <row r="2" customFormat="false" ht="15" hidden="false" customHeight="false" outlineLevel="0" collapsed="false">
      <c r="A2" s="18" t="s">
        <v>547</v>
      </c>
    </row>
    <row r="4" customFormat="false" ht="26.85" hidden="false" customHeight="false" outlineLevel="0" collapsed="false">
      <c r="A4" s="9" t="s">
        <v>159</v>
      </c>
      <c r="B4" s="9" t="s">
        <v>548</v>
      </c>
      <c r="C4" s="8" t="s">
        <v>549</v>
      </c>
      <c r="D4" s="8" t="s">
        <v>550</v>
      </c>
      <c r="E4" s="9" t="s">
        <v>551</v>
      </c>
      <c r="F4" s="9" t="s">
        <v>552</v>
      </c>
      <c r="G4" s="9" t="s">
        <v>553</v>
      </c>
      <c r="H4" s="8" t="s">
        <v>554</v>
      </c>
      <c r="I4" s="8" t="s">
        <v>555</v>
      </c>
    </row>
    <row r="5" customFormat="false" ht="44" hidden="false" customHeight="false" outlineLevel="0" collapsed="false">
      <c r="A5" s="10" t="s">
        <v>43</v>
      </c>
      <c r="B5" s="10" t="s">
        <v>556</v>
      </c>
      <c r="C5" s="10" t="s">
        <v>557</v>
      </c>
      <c r="D5" s="10" t="s">
        <v>53</v>
      </c>
      <c r="E5" s="11" t="s">
        <v>558</v>
      </c>
      <c r="F5" s="10" t="s">
        <v>559</v>
      </c>
      <c r="G5" s="10" t="s">
        <v>560</v>
      </c>
      <c r="H5" s="11" t="s">
        <v>561</v>
      </c>
      <c r="I5" s="11" t="s">
        <v>562</v>
      </c>
    </row>
    <row r="6" customFormat="false" ht="44" hidden="false" customHeight="false" outlineLevel="0" collapsed="false">
      <c r="A6" s="10" t="s">
        <v>53</v>
      </c>
      <c r="B6" s="10" t="s">
        <v>428</v>
      </c>
      <c r="C6" s="10" t="s">
        <v>563</v>
      </c>
      <c r="D6" s="10" t="s">
        <v>53</v>
      </c>
      <c r="E6" s="10" t="s">
        <v>564</v>
      </c>
      <c r="F6" s="10" t="s">
        <v>63</v>
      </c>
      <c r="G6" s="10" t="s">
        <v>565</v>
      </c>
      <c r="H6" s="11" t="s">
        <v>566</v>
      </c>
      <c r="I6" s="11" t="s">
        <v>567</v>
      </c>
    </row>
    <row r="7" customFormat="false" ht="44" hidden="false" customHeight="false" outlineLevel="0" collapsed="false">
      <c r="A7" s="10" t="s">
        <v>63</v>
      </c>
      <c r="B7" s="10" t="s">
        <v>255</v>
      </c>
      <c r="C7" s="11" t="s">
        <v>568</v>
      </c>
      <c r="D7" s="10" t="s">
        <v>569</v>
      </c>
      <c r="E7" s="11" t="s">
        <v>570</v>
      </c>
      <c r="F7" s="10" t="s">
        <v>63</v>
      </c>
      <c r="G7" s="10" t="s">
        <v>571</v>
      </c>
      <c r="H7" s="11" t="s">
        <v>572</v>
      </c>
      <c r="I7" s="11" t="s">
        <v>573</v>
      </c>
    </row>
    <row r="8" customFormat="false" ht="29.85" hidden="false" customHeight="false" outlineLevel="0" collapsed="false">
      <c r="A8" s="10" t="s">
        <v>72</v>
      </c>
      <c r="B8" s="10" t="s">
        <v>574</v>
      </c>
      <c r="C8" s="10" t="s">
        <v>575</v>
      </c>
      <c r="D8" s="10" t="s">
        <v>53</v>
      </c>
      <c r="E8" s="11" t="s">
        <v>576</v>
      </c>
      <c r="F8" s="10" t="s">
        <v>53</v>
      </c>
      <c r="G8" s="10" t="s">
        <v>43</v>
      </c>
      <c r="H8" s="11" t="s">
        <v>577</v>
      </c>
      <c r="I8" s="11" t="s">
        <v>578</v>
      </c>
    </row>
    <row r="9" customFormat="false" ht="29.85" hidden="false" customHeight="false" outlineLevel="0" collapsed="false">
      <c r="A9" s="10" t="s">
        <v>82</v>
      </c>
      <c r="B9" s="10" t="s">
        <v>579</v>
      </c>
      <c r="C9" s="10" t="s">
        <v>580</v>
      </c>
      <c r="D9" s="10" t="s">
        <v>43</v>
      </c>
      <c r="E9" s="11" t="s">
        <v>581</v>
      </c>
      <c r="F9" s="10" t="s">
        <v>582</v>
      </c>
      <c r="G9" s="10" t="s">
        <v>43</v>
      </c>
      <c r="H9" s="11" t="s">
        <v>583</v>
      </c>
      <c r="I9" s="11" t="s">
        <v>584</v>
      </c>
    </row>
    <row r="10" customFormat="false" ht="15" hidden="false" customHeight="false" outlineLevel="0" collapsed="false">
      <c r="A10" s="10" t="s">
        <v>92</v>
      </c>
      <c r="B10" s="10" t="s">
        <v>585</v>
      </c>
      <c r="C10" s="10" t="s">
        <v>586</v>
      </c>
      <c r="D10" s="10" t="s">
        <v>43</v>
      </c>
      <c r="E10" s="10" t="s">
        <v>230</v>
      </c>
      <c r="F10" s="10" t="s">
        <v>569</v>
      </c>
      <c r="G10" s="10" t="s">
        <v>43</v>
      </c>
      <c r="H10" s="11" t="s">
        <v>583</v>
      </c>
      <c r="I10" s="11" t="s">
        <v>584</v>
      </c>
    </row>
    <row r="11" customFormat="false" ht="44" hidden="false" customHeight="false" outlineLevel="0" collapsed="false">
      <c r="A11" s="10" t="s">
        <v>102</v>
      </c>
      <c r="B11" s="10" t="s">
        <v>587</v>
      </c>
      <c r="C11" s="10" t="s">
        <v>588</v>
      </c>
      <c r="D11" s="10" t="s">
        <v>53</v>
      </c>
      <c r="E11" s="10" t="s">
        <v>589</v>
      </c>
      <c r="F11" s="10" t="s">
        <v>569</v>
      </c>
      <c r="G11" s="10" t="s">
        <v>590</v>
      </c>
      <c r="H11" s="11" t="s">
        <v>591</v>
      </c>
      <c r="I11" s="11" t="s">
        <v>584</v>
      </c>
    </row>
    <row r="12" customFormat="false" ht="44" hidden="false" customHeight="false" outlineLevel="0" collapsed="false">
      <c r="A12" s="11" t="s">
        <v>541</v>
      </c>
      <c r="B12" s="10" t="s">
        <v>81</v>
      </c>
      <c r="C12" s="11" t="s">
        <v>592</v>
      </c>
      <c r="D12" s="10" t="s">
        <v>81</v>
      </c>
      <c r="E12" s="10" t="s">
        <v>593</v>
      </c>
      <c r="F12" s="10" t="s">
        <v>81</v>
      </c>
      <c r="G12" s="10" t="s">
        <v>81</v>
      </c>
      <c r="H12" s="10" t="s">
        <v>594</v>
      </c>
      <c r="I12" s="11"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5"/>
    <col collapsed="false" customWidth="true" hidden="false" outlineLevel="0" max="3" min="3" style="0" width="22"/>
    <col collapsed="false" customWidth="true" hidden="false" outlineLevel="0" max="4" min="4" style="0" width="18"/>
    <col collapsed="false" customWidth="true" hidden="false" outlineLevel="0" max="5" min="5" style="0" width="70"/>
    <col collapsed="false" customWidth="true" hidden="false" outlineLevel="0" max="6" min="6" style="0" width="28"/>
    <col collapsed="false" customWidth="true" hidden="false" outlineLevel="0" max="7" min="7" style="0" width="14"/>
  </cols>
  <sheetData>
    <row r="1" customFormat="false" ht="20.1" hidden="false" customHeight="false" outlineLevel="0" collapsed="false">
      <c r="A1" s="15" t="s">
        <v>596</v>
      </c>
    </row>
    <row r="2" customFormat="false" ht="15" hidden="false" customHeight="false" outlineLevel="0" collapsed="false">
      <c r="A2" s="2" t="s">
        <v>597</v>
      </c>
    </row>
    <row r="4" customFormat="false" ht="15" hidden="false" customHeight="false" outlineLevel="0" collapsed="false">
      <c r="A4" s="9" t="s">
        <v>159</v>
      </c>
      <c r="B4" s="8" t="s">
        <v>598</v>
      </c>
      <c r="C4" s="8" t="s">
        <v>599</v>
      </c>
      <c r="D4" s="8" t="s">
        <v>600</v>
      </c>
      <c r="E4" s="9" t="s">
        <v>601</v>
      </c>
      <c r="F4" s="8" t="s">
        <v>602</v>
      </c>
      <c r="G4" s="8" t="s">
        <v>40</v>
      </c>
    </row>
    <row r="5" customFormat="false" ht="35.05" hidden="false" customHeight="false" outlineLevel="0" collapsed="false">
      <c r="A5" s="10" t="s">
        <v>43</v>
      </c>
      <c r="B5" s="10" t="s">
        <v>603</v>
      </c>
      <c r="C5" s="10" t="s">
        <v>604</v>
      </c>
      <c r="D5" s="10" t="s">
        <v>605</v>
      </c>
      <c r="E5" s="10" t="s">
        <v>606</v>
      </c>
      <c r="F5" s="10" t="s">
        <v>81</v>
      </c>
      <c r="G5" s="14" t="s">
        <v>607</v>
      </c>
    </row>
    <row r="6" customFormat="false" ht="35.05" hidden="false" customHeight="false" outlineLevel="0" collapsed="false">
      <c r="A6" s="10" t="s">
        <v>53</v>
      </c>
      <c r="B6" s="10" t="s">
        <v>608</v>
      </c>
      <c r="C6" s="10" t="s">
        <v>609</v>
      </c>
      <c r="D6" s="10" t="s">
        <v>610</v>
      </c>
      <c r="E6" s="10" t="s">
        <v>611</v>
      </c>
      <c r="F6" s="10" t="s">
        <v>612</v>
      </c>
      <c r="G6" s="14" t="s">
        <v>178</v>
      </c>
    </row>
    <row r="7" customFormat="false" ht="29.85" hidden="false" customHeight="false" outlineLevel="0" collapsed="false">
      <c r="A7" s="10" t="s">
        <v>63</v>
      </c>
      <c r="B7" s="11" t="s">
        <v>613</v>
      </c>
      <c r="C7" s="10" t="s">
        <v>614</v>
      </c>
      <c r="D7" s="10" t="s">
        <v>615</v>
      </c>
      <c r="E7" s="10" t="s">
        <v>616</v>
      </c>
      <c r="F7" s="10" t="s">
        <v>617</v>
      </c>
      <c r="G7" s="14" t="s">
        <v>178</v>
      </c>
    </row>
    <row r="8" customFormat="false" ht="26.85" hidden="false" customHeight="false" outlineLevel="0" collapsed="false">
      <c r="A8" s="10" t="s">
        <v>72</v>
      </c>
      <c r="B8" s="10" t="s">
        <v>618</v>
      </c>
      <c r="C8" s="10" t="s">
        <v>609</v>
      </c>
      <c r="D8" s="10" t="s">
        <v>619</v>
      </c>
      <c r="E8" s="10" t="s">
        <v>620</v>
      </c>
      <c r="F8" s="10" t="s">
        <v>621</v>
      </c>
      <c r="G8" s="13" t="s">
        <v>172</v>
      </c>
    </row>
    <row r="9" customFormat="false" ht="35.05" hidden="false" customHeight="false" outlineLevel="0" collapsed="false">
      <c r="A9" s="10" t="s">
        <v>82</v>
      </c>
      <c r="B9" s="10" t="s">
        <v>622</v>
      </c>
      <c r="C9" s="10" t="s">
        <v>623</v>
      </c>
      <c r="D9" s="10" t="s">
        <v>624</v>
      </c>
      <c r="E9" s="10" t="s">
        <v>625</v>
      </c>
      <c r="F9" s="10" t="s">
        <v>626</v>
      </c>
      <c r="G9" s="13" t="s">
        <v>172</v>
      </c>
    </row>
    <row r="10" customFormat="false" ht="35.05" hidden="false" customHeight="false" outlineLevel="0" collapsed="false">
      <c r="A10" s="10" t="s">
        <v>92</v>
      </c>
      <c r="B10" s="10" t="s">
        <v>627</v>
      </c>
      <c r="C10" s="10" t="s">
        <v>623</v>
      </c>
      <c r="D10" s="10" t="s">
        <v>628</v>
      </c>
      <c r="E10" s="10" t="s">
        <v>629</v>
      </c>
      <c r="F10" s="10" t="s">
        <v>630</v>
      </c>
      <c r="G10" s="13" t="s">
        <v>172</v>
      </c>
    </row>
    <row r="11" customFormat="false" ht="41" hidden="false" customHeight="false" outlineLevel="0" collapsed="false">
      <c r="A11" s="10" t="s">
        <v>102</v>
      </c>
      <c r="B11" s="11" t="s">
        <v>631</v>
      </c>
      <c r="C11" s="10" t="s">
        <v>632</v>
      </c>
      <c r="D11" s="10" t="s">
        <v>619</v>
      </c>
      <c r="E11" s="10" t="s">
        <v>633</v>
      </c>
      <c r="F11" s="10" t="s">
        <v>634</v>
      </c>
      <c r="G11" s="13" t="s">
        <v>635</v>
      </c>
    </row>
    <row r="12" customFormat="false" ht="29.85" hidden="false" customHeight="false" outlineLevel="0" collapsed="false">
      <c r="A12" s="10" t="s">
        <v>111</v>
      </c>
      <c r="B12" s="10" t="s">
        <v>636</v>
      </c>
      <c r="C12" s="10" t="s">
        <v>623</v>
      </c>
      <c r="D12" s="10" t="s">
        <v>619</v>
      </c>
      <c r="E12" s="10" t="s">
        <v>637</v>
      </c>
      <c r="F12" s="10" t="s">
        <v>638</v>
      </c>
      <c r="G12" s="13" t="s">
        <v>172</v>
      </c>
    </row>
    <row r="13" customFormat="false" ht="46.25" hidden="false" customHeight="false" outlineLevel="0" collapsed="false">
      <c r="A13" s="10" t="s">
        <v>120</v>
      </c>
      <c r="B13" s="10" t="s">
        <v>639</v>
      </c>
      <c r="C13" s="10" t="s">
        <v>640</v>
      </c>
      <c r="D13" s="10" t="s">
        <v>619</v>
      </c>
      <c r="E13" s="10" t="s">
        <v>641</v>
      </c>
      <c r="F13" s="10" t="s">
        <v>288</v>
      </c>
      <c r="G13" s="13" t="s">
        <v>172</v>
      </c>
    </row>
    <row r="14" customFormat="false" ht="46.25" hidden="false" customHeight="false" outlineLevel="0" collapsed="false">
      <c r="A14" s="10" t="s">
        <v>130</v>
      </c>
      <c r="B14" s="10" t="s">
        <v>642</v>
      </c>
      <c r="C14" s="10" t="s">
        <v>643</v>
      </c>
      <c r="D14" s="10" t="s">
        <v>615</v>
      </c>
      <c r="E14" s="10" t="s">
        <v>644</v>
      </c>
      <c r="F14" s="10" t="s">
        <v>645</v>
      </c>
      <c r="G14" s="13" t="s">
        <v>646</v>
      </c>
    </row>
    <row r="15" customFormat="false" ht="44" hidden="false" customHeight="false" outlineLevel="0" collapsed="false">
      <c r="A15" s="10" t="s">
        <v>139</v>
      </c>
      <c r="B15" s="10" t="s">
        <v>647</v>
      </c>
      <c r="C15" s="10" t="s">
        <v>648</v>
      </c>
      <c r="D15" s="10" t="s">
        <v>649</v>
      </c>
      <c r="E15" s="10" t="s">
        <v>650</v>
      </c>
      <c r="F15" s="10" t="s">
        <v>651</v>
      </c>
      <c r="G15" s="14" t="s">
        <v>652</v>
      </c>
    </row>
    <row r="16" customFormat="false" ht="44" hidden="false" customHeight="false" outlineLevel="0" collapsed="false">
      <c r="A16" s="10" t="s">
        <v>148</v>
      </c>
      <c r="B16" s="10" t="s">
        <v>653</v>
      </c>
      <c r="C16" s="10" t="s">
        <v>654</v>
      </c>
      <c r="D16" s="10" t="s">
        <v>655</v>
      </c>
      <c r="E16" s="10" t="s">
        <v>656</v>
      </c>
      <c r="F16" s="11" t="s">
        <v>657</v>
      </c>
      <c r="G16" s="13" t="s">
        <v>172</v>
      </c>
    </row>
    <row r="17" customFormat="false" ht="72.35" hidden="false" customHeight="false" outlineLevel="0" collapsed="false">
      <c r="A17" s="10" t="s">
        <v>239</v>
      </c>
      <c r="B17" s="10" t="s">
        <v>658</v>
      </c>
      <c r="C17" s="10" t="s">
        <v>609</v>
      </c>
      <c r="D17" s="10" t="s">
        <v>649</v>
      </c>
      <c r="E17" s="10" t="s">
        <v>659</v>
      </c>
      <c r="F17" s="10" t="s">
        <v>660</v>
      </c>
      <c r="G17" s="14"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5"/>
    <col collapsed="false" customWidth="true" hidden="false" outlineLevel="0" max="3" min="3" style="0" width="12"/>
    <col collapsed="false" customWidth="true" hidden="false" outlineLevel="0" max="4" min="4" style="0" width="50"/>
    <col collapsed="false" customWidth="true" hidden="false" outlineLevel="0" max="5" min="5" style="0" width="36"/>
    <col collapsed="false" customWidth="true" hidden="false" outlineLevel="0" max="6" min="6" style="0" width="40"/>
    <col collapsed="false" customWidth="true" hidden="false" outlineLevel="0" max="7" min="7" style="0" width="12"/>
  </cols>
  <sheetData>
    <row r="1" customFormat="false" ht="20.1" hidden="false" customHeight="false" outlineLevel="0" collapsed="false">
      <c r="A1" s="15" t="s">
        <v>661</v>
      </c>
    </row>
    <row r="2" customFormat="false" ht="15" hidden="false" customHeight="false" outlineLevel="0" collapsed="false">
      <c r="A2" s="2" t="s">
        <v>662</v>
      </c>
    </row>
    <row r="4" customFormat="false" ht="15" hidden="false" customHeight="false" outlineLevel="0" collapsed="false">
      <c r="A4" s="9" t="s">
        <v>159</v>
      </c>
      <c r="B4" s="9" t="s">
        <v>663</v>
      </c>
      <c r="C4" s="8" t="s">
        <v>599</v>
      </c>
      <c r="D4" s="9" t="s">
        <v>664</v>
      </c>
      <c r="E4" s="8" t="s">
        <v>665</v>
      </c>
      <c r="F4" s="8" t="s">
        <v>666</v>
      </c>
      <c r="G4" s="8" t="s">
        <v>40</v>
      </c>
    </row>
    <row r="5" customFormat="false" ht="44" hidden="false" customHeight="false" outlineLevel="0" collapsed="false">
      <c r="A5" s="10" t="s">
        <v>667</v>
      </c>
      <c r="B5" s="10" t="s">
        <v>668</v>
      </c>
      <c r="C5" s="10" t="s">
        <v>183</v>
      </c>
      <c r="D5" s="11" t="s">
        <v>669</v>
      </c>
      <c r="E5" s="10" t="s">
        <v>670</v>
      </c>
      <c r="F5" s="10" t="s">
        <v>671</v>
      </c>
      <c r="G5" s="13" t="s">
        <v>410</v>
      </c>
    </row>
    <row r="6" customFormat="false" ht="44" hidden="false" customHeight="false" outlineLevel="0" collapsed="false">
      <c r="A6" s="10" t="s">
        <v>672</v>
      </c>
      <c r="B6" s="10" t="s">
        <v>673</v>
      </c>
      <c r="C6" s="10" t="s">
        <v>183</v>
      </c>
      <c r="D6" s="11" t="s">
        <v>674</v>
      </c>
      <c r="E6" s="11" t="s">
        <v>675</v>
      </c>
      <c r="F6" s="10" t="s">
        <v>676</v>
      </c>
      <c r="G6" s="13" t="s">
        <v>410</v>
      </c>
    </row>
    <row r="7" customFormat="false" ht="44" hidden="false" customHeight="false" outlineLevel="0" collapsed="false">
      <c r="A7" s="10" t="s">
        <v>677</v>
      </c>
      <c r="B7" s="10" t="s">
        <v>678</v>
      </c>
      <c r="C7" s="10" t="s">
        <v>183</v>
      </c>
      <c r="D7" s="11" t="s">
        <v>679</v>
      </c>
      <c r="E7" s="11" t="s">
        <v>680</v>
      </c>
      <c r="F7" s="11" t="s">
        <v>681</v>
      </c>
      <c r="G7" s="14" t="s">
        <v>178</v>
      </c>
    </row>
    <row r="8" customFormat="false" ht="29.85" hidden="false" customHeight="false" outlineLevel="0" collapsed="false">
      <c r="A8" s="10" t="s">
        <v>682</v>
      </c>
      <c r="B8" s="10" t="s">
        <v>683</v>
      </c>
      <c r="C8" s="10" t="s">
        <v>684</v>
      </c>
      <c r="D8" s="11" t="s">
        <v>685</v>
      </c>
      <c r="E8" s="10" t="s">
        <v>686</v>
      </c>
      <c r="F8" s="10" t="s">
        <v>687</v>
      </c>
      <c r="G8" s="13" t="s">
        <v>410</v>
      </c>
    </row>
    <row r="9" customFormat="false" ht="44" hidden="false" customHeight="false" outlineLevel="0" collapsed="false">
      <c r="A9" s="10" t="s">
        <v>688</v>
      </c>
      <c r="B9" s="10" t="s">
        <v>689</v>
      </c>
      <c r="C9" s="10" t="s">
        <v>220</v>
      </c>
      <c r="D9" s="11" t="s">
        <v>690</v>
      </c>
      <c r="E9" s="10" t="s">
        <v>691</v>
      </c>
      <c r="F9" s="11" t="s">
        <v>692</v>
      </c>
      <c r="G9" s="13" t="s">
        <v>410</v>
      </c>
    </row>
    <row r="10" customFormat="false" ht="29.85" hidden="false" customHeight="false" outlineLevel="0" collapsed="false">
      <c r="A10" s="10" t="s">
        <v>693</v>
      </c>
      <c r="B10" s="11" t="s">
        <v>694</v>
      </c>
      <c r="C10" s="10" t="s">
        <v>220</v>
      </c>
      <c r="D10" s="11" t="s">
        <v>695</v>
      </c>
      <c r="E10" s="10" t="s">
        <v>696</v>
      </c>
      <c r="F10" s="11" t="s">
        <v>697</v>
      </c>
      <c r="G10" s="13" t="s">
        <v>172</v>
      </c>
    </row>
    <row r="11" customFormat="false" ht="29.85" hidden="false" customHeight="false" outlineLevel="0" collapsed="false">
      <c r="A11" s="10" t="s">
        <v>698</v>
      </c>
      <c r="B11" s="10" t="s">
        <v>699</v>
      </c>
      <c r="C11" s="10" t="s">
        <v>700</v>
      </c>
      <c r="D11" s="11" t="s">
        <v>701</v>
      </c>
      <c r="E11" s="10" t="s">
        <v>702</v>
      </c>
      <c r="F11" s="11" t="s">
        <v>703</v>
      </c>
      <c r="G11" s="13" t="s">
        <v>704</v>
      </c>
    </row>
    <row r="12" customFormat="false" ht="44" hidden="false" customHeight="false" outlineLevel="0" collapsed="false">
      <c r="A12" s="10" t="s">
        <v>705</v>
      </c>
      <c r="B12" s="10" t="s">
        <v>706</v>
      </c>
      <c r="C12" s="10" t="s">
        <v>707</v>
      </c>
      <c r="D12" s="11" t="s">
        <v>708</v>
      </c>
      <c r="E12" s="11" t="s">
        <v>709</v>
      </c>
      <c r="F12" s="11" t="s">
        <v>710</v>
      </c>
      <c r="G12" s="13"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42"/>
    <col collapsed="false" customWidth="true" hidden="false" outlineLevel="0" max="4" min="4" style="0" width="55"/>
    <col collapsed="false" customWidth="true" hidden="false" outlineLevel="0" max="5" min="5" style="0" width="45"/>
    <col collapsed="false" customWidth="true" hidden="false" outlineLevel="0" max="6" min="6" style="0" width="32"/>
    <col collapsed="false" customWidth="true" hidden="false" outlineLevel="0" max="7" min="7" style="0" width="14"/>
  </cols>
  <sheetData>
    <row r="1" customFormat="false" ht="20.1" hidden="false" customHeight="false" outlineLevel="0" collapsed="false">
      <c r="A1" s="15" t="s">
        <v>711</v>
      </c>
    </row>
    <row r="2" customFormat="false" ht="15" hidden="false" customHeight="false" outlineLevel="0" collapsed="false">
      <c r="A2" s="2" t="s">
        <v>712</v>
      </c>
    </row>
    <row r="4" customFormat="false" ht="15" hidden="false" customHeight="false" outlineLevel="0" collapsed="false">
      <c r="A4" s="9" t="s">
        <v>159</v>
      </c>
      <c r="B4" s="8" t="s">
        <v>713</v>
      </c>
      <c r="C4" s="9" t="s">
        <v>714</v>
      </c>
      <c r="D4" s="8" t="s">
        <v>715</v>
      </c>
      <c r="E4" s="8" t="s">
        <v>716</v>
      </c>
      <c r="F4" s="9" t="s">
        <v>717</v>
      </c>
      <c r="G4" s="8" t="s">
        <v>40</v>
      </c>
    </row>
    <row r="5" customFormat="false" ht="29.85" hidden="false" customHeight="false" outlineLevel="0" collapsed="false">
      <c r="A5" s="10" t="s">
        <v>43</v>
      </c>
      <c r="B5" s="11" t="s">
        <v>718</v>
      </c>
      <c r="C5" s="10" t="s">
        <v>719</v>
      </c>
      <c r="D5" s="10" t="s">
        <v>720</v>
      </c>
      <c r="E5" s="10" t="s">
        <v>721</v>
      </c>
      <c r="F5" s="11" t="s">
        <v>722</v>
      </c>
      <c r="G5" s="14" t="s">
        <v>178</v>
      </c>
    </row>
    <row r="6" customFormat="false" ht="29.85" hidden="false" customHeight="false" outlineLevel="0" collapsed="false">
      <c r="A6" s="10" t="s">
        <v>53</v>
      </c>
      <c r="B6" s="11" t="s">
        <v>723</v>
      </c>
      <c r="C6" s="10" t="s">
        <v>724</v>
      </c>
      <c r="D6" s="10" t="s">
        <v>725</v>
      </c>
      <c r="E6" s="10" t="s">
        <v>726</v>
      </c>
      <c r="F6" s="11" t="s">
        <v>727</v>
      </c>
      <c r="G6" s="14" t="s">
        <v>178</v>
      </c>
    </row>
    <row r="7" customFormat="false" ht="44" hidden="false" customHeight="false" outlineLevel="0" collapsed="false">
      <c r="A7" s="10" t="s">
        <v>63</v>
      </c>
      <c r="B7" s="11" t="s">
        <v>723</v>
      </c>
      <c r="C7" s="10" t="s">
        <v>728</v>
      </c>
      <c r="D7" s="10" t="s">
        <v>729</v>
      </c>
      <c r="E7" s="10" t="s">
        <v>730</v>
      </c>
      <c r="F7" s="10" t="s">
        <v>731</v>
      </c>
      <c r="G7" s="14" t="s">
        <v>178</v>
      </c>
    </row>
    <row r="8" customFormat="false" ht="44" hidden="false" customHeight="false" outlineLevel="0" collapsed="false">
      <c r="A8" s="10" t="s">
        <v>72</v>
      </c>
      <c r="B8" s="11" t="s">
        <v>732</v>
      </c>
      <c r="C8" s="10" t="s">
        <v>733</v>
      </c>
      <c r="D8" s="11" t="s">
        <v>734</v>
      </c>
      <c r="E8" s="11" t="s">
        <v>735</v>
      </c>
      <c r="F8" s="11" t="s">
        <v>736</v>
      </c>
      <c r="G8" s="14" t="s">
        <v>737</v>
      </c>
    </row>
    <row r="9" customFormat="false" ht="29.85" hidden="false" customHeight="false" outlineLevel="0" collapsed="false">
      <c r="A9" s="10" t="s">
        <v>82</v>
      </c>
      <c r="B9" s="11" t="s">
        <v>738</v>
      </c>
      <c r="C9" s="10" t="s">
        <v>739</v>
      </c>
      <c r="D9" s="11" t="s">
        <v>740</v>
      </c>
      <c r="E9" s="11" t="s">
        <v>741</v>
      </c>
      <c r="F9" s="11" t="s">
        <v>742</v>
      </c>
      <c r="G9" s="14" t="s">
        <v>178</v>
      </c>
    </row>
    <row r="10" customFormat="false" ht="29.85" hidden="false" customHeight="false" outlineLevel="0" collapsed="false">
      <c r="A10" s="10" t="s">
        <v>92</v>
      </c>
      <c r="B10" s="11" t="s">
        <v>743</v>
      </c>
      <c r="C10" s="10" t="s">
        <v>744</v>
      </c>
      <c r="D10" s="11" t="s">
        <v>745</v>
      </c>
      <c r="E10" s="10" t="s">
        <v>81</v>
      </c>
      <c r="F10" s="10" t="s">
        <v>746</v>
      </c>
      <c r="G10" s="13" t="s">
        <v>747</v>
      </c>
    </row>
    <row r="11" customFormat="false" ht="29.85" hidden="false" customHeight="false" outlineLevel="0" collapsed="false">
      <c r="A11" s="10" t="s">
        <v>102</v>
      </c>
      <c r="B11" s="11" t="s">
        <v>743</v>
      </c>
      <c r="C11" s="10" t="s">
        <v>748</v>
      </c>
      <c r="D11" s="11" t="s">
        <v>749</v>
      </c>
      <c r="E11" s="10" t="s">
        <v>81</v>
      </c>
      <c r="F11" s="11" t="s">
        <v>750</v>
      </c>
      <c r="G11" s="13" t="s">
        <v>747</v>
      </c>
    </row>
    <row r="12" customFormat="false" ht="15" hidden="false" customHeight="false" outlineLevel="0" collapsed="false">
      <c r="A12" s="10" t="s">
        <v>111</v>
      </c>
      <c r="B12" s="11" t="s">
        <v>743</v>
      </c>
      <c r="C12" s="10" t="s">
        <v>751</v>
      </c>
      <c r="D12" s="11" t="s">
        <v>749</v>
      </c>
      <c r="E12" s="10" t="s">
        <v>81</v>
      </c>
      <c r="F12" s="11" t="s">
        <v>750</v>
      </c>
      <c r="G12" s="13" t="s">
        <v>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70"/>
    <col collapsed="false" customWidth="true" hidden="false" outlineLevel="0" max="4" min="4" style="0" width="16"/>
    <col collapsed="false" customWidth="true" hidden="false" outlineLevel="0" max="5" min="5" style="0" width="14"/>
    <col collapsed="false" customWidth="true" hidden="false" outlineLevel="0" max="6" min="6" style="0" width="55"/>
    <col collapsed="false" customWidth="true" hidden="false" outlineLevel="0" max="7" min="7" style="0" width="40"/>
  </cols>
  <sheetData>
    <row r="1" customFormat="false" ht="16.15" hidden="false" customHeight="false" outlineLevel="0" collapsed="false">
      <c r="A1" s="15" t="s">
        <v>752</v>
      </c>
    </row>
    <row r="2" customFormat="false" ht="15" hidden="false" customHeight="false" outlineLevel="0" collapsed="false">
      <c r="A2" s="18" t="s">
        <v>753</v>
      </c>
    </row>
    <row r="4" customFormat="false" ht="15" hidden="false" customHeight="false" outlineLevel="0" collapsed="false">
      <c r="A4" s="9" t="s">
        <v>159</v>
      </c>
      <c r="B4" s="8" t="s">
        <v>713</v>
      </c>
      <c r="C4" s="8" t="s">
        <v>754</v>
      </c>
      <c r="D4" s="8" t="s">
        <v>755</v>
      </c>
      <c r="E4" s="8" t="s">
        <v>40</v>
      </c>
      <c r="F4" s="8" t="s">
        <v>756</v>
      </c>
      <c r="G4" s="8" t="s">
        <v>757</v>
      </c>
    </row>
    <row r="5" customFormat="false" ht="29.85" hidden="false" customHeight="false" outlineLevel="0" collapsed="false">
      <c r="A5" s="10" t="s">
        <v>758</v>
      </c>
      <c r="B5" s="10" t="s">
        <v>667</v>
      </c>
      <c r="C5" s="10" t="s">
        <v>759</v>
      </c>
      <c r="D5" s="10" t="s">
        <v>760</v>
      </c>
      <c r="E5" s="13" t="s">
        <v>761</v>
      </c>
      <c r="F5" s="10" t="s">
        <v>762</v>
      </c>
      <c r="G5" s="11" t="s">
        <v>763</v>
      </c>
    </row>
    <row r="6" customFormat="false" ht="15" hidden="false" customHeight="false" outlineLevel="0" collapsed="false">
      <c r="A6" s="10" t="s">
        <v>764</v>
      </c>
      <c r="B6" s="10" t="s">
        <v>667</v>
      </c>
      <c r="C6" s="10" t="s">
        <v>765</v>
      </c>
      <c r="D6" s="10" t="s">
        <v>53</v>
      </c>
      <c r="E6" s="13" t="s">
        <v>761</v>
      </c>
      <c r="F6" s="10" t="s">
        <v>762</v>
      </c>
      <c r="G6" s="10" t="s">
        <v>766</v>
      </c>
    </row>
    <row r="7" customFormat="false" ht="29.85" hidden="false" customHeight="false" outlineLevel="0" collapsed="false">
      <c r="A7" s="10" t="s">
        <v>767</v>
      </c>
      <c r="B7" s="10" t="s">
        <v>667</v>
      </c>
      <c r="C7" s="10" t="s">
        <v>768</v>
      </c>
      <c r="D7" s="10" t="s">
        <v>769</v>
      </c>
      <c r="E7" s="13" t="s">
        <v>761</v>
      </c>
      <c r="F7" s="10" t="s">
        <v>762</v>
      </c>
      <c r="G7" s="10" t="s">
        <v>81</v>
      </c>
    </row>
    <row r="8" customFormat="false" ht="29.85" hidden="false" customHeight="false" outlineLevel="0" collapsed="false">
      <c r="A8" s="10" t="s">
        <v>770</v>
      </c>
      <c r="B8" s="10" t="s">
        <v>667</v>
      </c>
      <c r="C8" s="10" t="s">
        <v>771</v>
      </c>
      <c r="D8" s="10" t="s">
        <v>130</v>
      </c>
      <c r="E8" s="13" t="s">
        <v>761</v>
      </c>
      <c r="F8" s="10" t="s">
        <v>772</v>
      </c>
      <c r="G8" s="10" t="s">
        <v>773</v>
      </c>
    </row>
    <row r="9" customFormat="false" ht="29.85" hidden="false" customHeight="false" outlineLevel="0" collapsed="false">
      <c r="A9" s="10" t="s">
        <v>774</v>
      </c>
      <c r="B9" s="10" t="s">
        <v>667</v>
      </c>
      <c r="C9" s="10" t="s">
        <v>775</v>
      </c>
      <c r="D9" s="10" t="s">
        <v>776</v>
      </c>
      <c r="E9" s="13" t="s">
        <v>761</v>
      </c>
      <c r="F9" s="10" t="s">
        <v>777</v>
      </c>
      <c r="G9" s="10" t="s">
        <v>81</v>
      </c>
    </row>
    <row r="10" customFormat="false" ht="15" hidden="false" customHeight="false" outlineLevel="0" collapsed="false">
      <c r="A10" s="10" t="s">
        <v>778</v>
      </c>
      <c r="B10" s="10" t="s">
        <v>667</v>
      </c>
      <c r="C10" s="10" t="s">
        <v>779</v>
      </c>
      <c r="D10" s="10" t="s">
        <v>780</v>
      </c>
      <c r="E10" s="13" t="s">
        <v>761</v>
      </c>
      <c r="F10" s="10" t="s">
        <v>762</v>
      </c>
      <c r="G10" s="10" t="s">
        <v>81</v>
      </c>
    </row>
    <row r="11" customFormat="false" ht="15" hidden="false" customHeight="false" outlineLevel="0" collapsed="false">
      <c r="A11" s="10" t="s">
        <v>781</v>
      </c>
      <c r="B11" s="10" t="s">
        <v>667</v>
      </c>
      <c r="C11" s="11" t="s">
        <v>782</v>
      </c>
      <c r="D11" s="10" t="s">
        <v>783</v>
      </c>
      <c r="E11" s="13" t="s">
        <v>761</v>
      </c>
      <c r="F11" s="10" t="s">
        <v>784</v>
      </c>
      <c r="G11" s="11" t="s">
        <v>785</v>
      </c>
    </row>
    <row r="12" customFormat="false" ht="29.85" hidden="false" customHeight="false" outlineLevel="0" collapsed="false">
      <c r="A12" s="10" t="s">
        <v>786</v>
      </c>
      <c r="B12" s="10" t="s">
        <v>672</v>
      </c>
      <c r="C12" s="10" t="s">
        <v>787</v>
      </c>
      <c r="D12" s="10" t="s">
        <v>788</v>
      </c>
      <c r="E12" s="14" t="s">
        <v>178</v>
      </c>
      <c r="F12" s="10" t="s">
        <v>789</v>
      </c>
      <c r="G12" s="11" t="s">
        <v>790</v>
      </c>
    </row>
    <row r="13" customFormat="false" ht="23.85" hidden="false" customHeight="false" outlineLevel="0" collapsed="false">
      <c r="A13" s="10" t="s">
        <v>791</v>
      </c>
      <c r="B13" s="10" t="s">
        <v>672</v>
      </c>
      <c r="C13" s="10" t="s">
        <v>792</v>
      </c>
      <c r="D13" s="10" t="s">
        <v>63</v>
      </c>
      <c r="E13" s="14" t="s">
        <v>178</v>
      </c>
      <c r="F13" s="10" t="s">
        <v>793</v>
      </c>
      <c r="G13" s="10" t="s">
        <v>794</v>
      </c>
    </row>
    <row r="14" customFormat="false" ht="23.85" hidden="false" customHeight="false" outlineLevel="0" collapsed="false">
      <c r="A14" s="10" t="s">
        <v>795</v>
      </c>
      <c r="B14" s="10" t="s">
        <v>672</v>
      </c>
      <c r="C14" s="10" t="s">
        <v>719</v>
      </c>
      <c r="D14" s="10" t="s">
        <v>796</v>
      </c>
      <c r="E14" s="14" t="s">
        <v>178</v>
      </c>
      <c r="F14" s="10" t="s">
        <v>797</v>
      </c>
      <c r="G14" s="11" t="s">
        <v>750</v>
      </c>
    </row>
    <row r="15" customFormat="false" ht="29.85" hidden="false" customHeight="false" outlineLevel="0" collapsed="false">
      <c r="A15" s="10" t="s">
        <v>798</v>
      </c>
      <c r="B15" s="10" t="s">
        <v>672</v>
      </c>
      <c r="C15" s="10" t="s">
        <v>728</v>
      </c>
      <c r="D15" s="10" t="s">
        <v>796</v>
      </c>
      <c r="E15" s="14" t="s">
        <v>178</v>
      </c>
      <c r="F15" s="10" t="s">
        <v>799</v>
      </c>
      <c r="G15" s="11" t="s">
        <v>750</v>
      </c>
    </row>
    <row r="16" customFormat="false" ht="23.85" hidden="false" customHeight="false" outlineLevel="0" collapsed="false">
      <c r="A16" s="10" t="s">
        <v>800</v>
      </c>
      <c r="B16" s="10" t="s">
        <v>672</v>
      </c>
      <c r="C16" s="10" t="s">
        <v>801</v>
      </c>
      <c r="D16" s="10" t="s">
        <v>139</v>
      </c>
      <c r="E16" s="14" t="s">
        <v>178</v>
      </c>
      <c r="F16" s="10" t="s">
        <v>802</v>
      </c>
      <c r="G16" s="11" t="s">
        <v>750</v>
      </c>
    </row>
    <row r="17" customFormat="false" ht="15" hidden="false" customHeight="false" outlineLevel="0" collapsed="false">
      <c r="A17" s="10" t="s">
        <v>803</v>
      </c>
      <c r="B17" s="10" t="s">
        <v>672</v>
      </c>
      <c r="C17" s="10" t="s">
        <v>804</v>
      </c>
      <c r="D17" s="10" t="s">
        <v>805</v>
      </c>
      <c r="E17" s="13" t="s">
        <v>806</v>
      </c>
      <c r="F17" s="10" t="s">
        <v>807</v>
      </c>
      <c r="G17" s="11" t="s">
        <v>808</v>
      </c>
    </row>
    <row r="18" customFormat="false" ht="29.85" hidden="false" customHeight="false" outlineLevel="0" collapsed="false">
      <c r="A18" s="10" t="s">
        <v>809</v>
      </c>
      <c r="B18" s="10" t="s">
        <v>672</v>
      </c>
      <c r="C18" s="11" t="s">
        <v>810</v>
      </c>
      <c r="D18" s="10" t="s">
        <v>63</v>
      </c>
      <c r="E18" s="12" t="s">
        <v>811</v>
      </c>
      <c r="F18" s="10" t="s">
        <v>812</v>
      </c>
      <c r="G18" s="11" t="s">
        <v>813</v>
      </c>
    </row>
    <row r="19" customFormat="false" ht="26.85" hidden="false" customHeight="false" outlineLevel="0" collapsed="false">
      <c r="A19" s="10" t="s">
        <v>814</v>
      </c>
      <c r="B19" s="10" t="s">
        <v>672</v>
      </c>
      <c r="C19" s="10" t="s">
        <v>815</v>
      </c>
      <c r="D19" s="10" t="s">
        <v>816</v>
      </c>
      <c r="E19" s="13" t="s">
        <v>817</v>
      </c>
      <c r="F19" s="10" t="s">
        <v>818</v>
      </c>
      <c r="G19" s="10" t="s">
        <v>819</v>
      </c>
    </row>
    <row r="20" customFormat="false" ht="29.85" hidden="false" customHeight="false" outlineLevel="0" collapsed="false">
      <c r="A20" s="10" t="s">
        <v>820</v>
      </c>
      <c r="B20" s="10" t="s">
        <v>672</v>
      </c>
      <c r="C20" s="10" t="s">
        <v>821</v>
      </c>
      <c r="D20" s="10" t="s">
        <v>822</v>
      </c>
      <c r="E20" s="14" t="s">
        <v>178</v>
      </c>
      <c r="F20" s="10" t="s">
        <v>823</v>
      </c>
      <c r="G20" s="10" t="s">
        <v>81</v>
      </c>
    </row>
    <row r="21" customFormat="false" ht="15" hidden="false" customHeight="false" outlineLevel="0" collapsed="false">
      <c r="A21" s="10" t="s">
        <v>824</v>
      </c>
      <c r="B21" s="10" t="s">
        <v>672</v>
      </c>
      <c r="C21" s="10" t="s">
        <v>825</v>
      </c>
      <c r="D21" s="11" t="s">
        <v>826</v>
      </c>
      <c r="E21" s="14" t="s">
        <v>178</v>
      </c>
      <c r="F21" s="10" t="s">
        <v>827</v>
      </c>
      <c r="G21" s="10" t="s">
        <v>81</v>
      </c>
    </row>
    <row r="22" customFormat="false" ht="15" hidden="false" customHeight="false" outlineLevel="0" collapsed="false">
      <c r="A22" s="10" t="s">
        <v>828</v>
      </c>
      <c r="B22" s="10" t="s">
        <v>672</v>
      </c>
      <c r="C22" s="11" t="s">
        <v>829</v>
      </c>
      <c r="D22" s="10" t="s">
        <v>139</v>
      </c>
      <c r="E22" s="13" t="s">
        <v>747</v>
      </c>
      <c r="F22" s="11" t="s">
        <v>830</v>
      </c>
      <c r="G22" s="10" t="s">
        <v>81</v>
      </c>
    </row>
    <row r="23" customFormat="false" ht="29.85" hidden="false" customHeight="false" outlineLevel="0" collapsed="false">
      <c r="A23" s="10" t="s">
        <v>831</v>
      </c>
      <c r="B23" s="10" t="s">
        <v>677</v>
      </c>
      <c r="C23" s="10" t="s">
        <v>832</v>
      </c>
      <c r="D23" s="10" t="s">
        <v>833</v>
      </c>
      <c r="E23" s="13" t="s">
        <v>834</v>
      </c>
      <c r="F23" s="10" t="s">
        <v>835</v>
      </c>
      <c r="G23" s="11" t="s">
        <v>836</v>
      </c>
    </row>
    <row r="24" customFormat="false" ht="15" hidden="false" customHeight="false" outlineLevel="0" collapsed="false">
      <c r="A24" s="10" t="s">
        <v>837</v>
      </c>
      <c r="B24" s="10" t="s">
        <v>677</v>
      </c>
      <c r="C24" s="10" t="s">
        <v>838</v>
      </c>
      <c r="D24" s="10" t="s">
        <v>839</v>
      </c>
      <c r="E24" s="13" t="s">
        <v>834</v>
      </c>
      <c r="F24" s="10" t="s">
        <v>840</v>
      </c>
      <c r="G24" s="11" t="s">
        <v>841</v>
      </c>
    </row>
    <row r="25" customFormat="false" ht="29.85" hidden="false" customHeight="false" outlineLevel="0" collapsed="false">
      <c r="A25" s="10" t="s">
        <v>842</v>
      </c>
      <c r="B25" s="10" t="s">
        <v>677</v>
      </c>
      <c r="C25" s="11" t="s">
        <v>843</v>
      </c>
      <c r="D25" s="10" t="s">
        <v>844</v>
      </c>
      <c r="E25" s="13" t="s">
        <v>834</v>
      </c>
      <c r="F25" s="10" t="s">
        <v>845</v>
      </c>
      <c r="G25" s="11" t="s">
        <v>846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70"/>
  </cols>
  <sheetData>
    <row r="1" customFormat="false" ht="16.15" hidden="false" customHeight="false" outlineLevel="0" collapsed="false">
      <c r="A1" s="15" t="s">
        <v>847</v>
      </c>
    </row>
    <row r="2" customFormat="false" ht="15" hidden="false" customHeight="false" outlineLevel="0" collapsed="false">
      <c r="A2" s="2" t="s">
        <v>848</v>
      </c>
    </row>
    <row r="4" customFormat="false" ht="15" hidden="false" customHeight="false" outlineLevel="0" collapsed="false">
      <c r="A4" s="8" t="s">
        <v>849</v>
      </c>
      <c r="B4" s="8" t="s">
        <v>850</v>
      </c>
      <c r="C4" s="8" t="s">
        <v>851</v>
      </c>
    </row>
    <row r="5" customFormat="false" ht="15" hidden="false" customHeight="false" outlineLevel="0" collapsed="false">
      <c r="A5" s="10" t="s">
        <v>852</v>
      </c>
      <c r="B5" s="10" t="s">
        <v>853</v>
      </c>
      <c r="C5" s="10" t="s">
        <v>854</v>
      </c>
    </row>
    <row r="6" customFormat="false" ht="15" hidden="false" customHeight="false" outlineLevel="0" collapsed="false">
      <c r="A6" s="10" t="s">
        <v>855</v>
      </c>
      <c r="B6" s="10" t="s">
        <v>856</v>
      </c>
      <c r="C6" s="10" t="s">
        <v>857</v>
      </c>
    </row>
    <row r="7" customFormat="false" ht="15" hidden="false" customHeight="false" outlineLevel="0" collapsed="false">
      <c r="A7" s="10" t="s">
        <v>858</v>
      </c>
      <c r="B7" s="10" t="s">
        <v>859</v>
      </c>
      <c r="C7" s="10" t="s">
        <v>857</v>
      </c>
    </row>
    <row r="8" customFormat="false" ht="15" hidden="false" customHeight="false" outlineLevel="0" collapsed="false">
      <c r="A8" s="10" t="s">
        <v>860</v>
      </c>
      <c r="B8" s="10" t="s">
        <v>861</v>
      </c>
      <c r="C8" s="10" t="s">
        <v>862</v>
      </c>
    </row>
    <row r="9" customFormat="false" ht="15" hidden="false" customHeight="false" outlineLevel="0" collapsed="false">
      <c r="A9" s="10" t="s">
        <v>863</v>
      </c>
      <c r="B9" s="10" t="s">
        <v>864</v>
      </c>
      <c r="C9" s="10" t="s">
        <v>857</v>
      </c>
    </row>
    <row r="10" customFormat="false" ht="15" hidden="false" customHeight="false" outlineLevel="0" collapsed="false">
      <c r="A10" s="10" t="s">
        <v>865</v>
      </c>
      <c r="B10" s="11" t="s">
        <v>866</v>
      </c>
      <c r="C10" s="10" t="s">
        <v>867</v>
      </c>
    </row>
    <row r="11" customFormat="false" ht="29.85" hidden="false" customHeight="false" outlineLevel="0" collapsed="false">
      <c r="A11" s="10" t="s">
        <v>868</v>
      </c>
      <c r="B11" s="11" t="s">
        <v>869</v>
      </c>
      <c r="C11" s="10" t="s">
        <v>870</v>
      </c>
    </row>
    <row r="12" customFormat="false" ht="15" hidden="false" customHeight="false" outlineLevel="0" collapsed="false">
      <c r="A12" s="10" t="s">
        <v>871</v>
      </c>
      <c r="B12" s="10" t="s">
        <v>872</v>
      </c>
      <c r="C12" s="10" t="s">
        <v>873</v>
      </c>
    </row>
    <row r="13" customFormat="false" ht="15" hidden="false" customHeight="false" outlineLevel="0" collapsed="false">
      <c r="A13" s="10" t="s">
        <v>874</v>
      </c>
      <c r="B13" s="11" t="s">
        <v>875</v>
      </c>
      <c r="C13" s="10" t="s">
        <v>812</v>
      </c>
    </row>
    <row r="14" customFormat="false" ht="15" hidden="false" customHeight="false" outlineLevel="0" collapsed="false">
      <c r="A14" s="10" t="s">
        <v>876</v>
      </c>
      <c r="B14" s="10" t="s">
        <v>877</v>
      </c>
      <c r="C14" s="10" t="s">
        <v>812</v>
      </c>
    </row>
    <row r="15" customFormat="false" ht="23.85" hidden="false" customHeight="false" outlineLevel="0" collapsed="false">
      <c r="A15" s="10" t="s">
        <v>878</v>
      </c>
      <c r="B15" s="10" t="s">
        <v>879</v>
      </c>
      <c r="C15" s="10" t="s">
        <v>807</v>
      </c>
    </row>
    <row r="16" customFormat="false" ht="23.85" hidden="false" customHeight="false" outlineLevel="0" collapsed="false">
      <c r="A16" s="10" t="s">
        <v>880</v>
      </c>
      <c r="B16" s="10" t="s">
        <v>881</v>
      </c>
      <c r="C16" s="10" t="s">
        <v>807</v>
      </c>
    </row>
    <row r="17" customFormat="false" ht="15" hidden="false" customHeight="false" outlineLevel="0" collapsed="false">
      <c r="A17" s="10" t="s">
        <v>882</v>
      </c>
      <c r="B17" s="10" t="s">
        <v>883</v>
      </c>
      <c r="C17" s="10" t="s">
        <v>884</v>
      </c>
    </row>
    <row r="18" customFormat="false" ht="41" hidden="false" customHeight="false" outlineLevel="0" collapsed="false">
      <c r="A18" s="10" t="s">
        <v>885</v>
      </c>
      <c r="B18" s="11" t="s">
        <v>886</v>
      </c>
      <c r="C18" s="10" t="s">
        <v>812</v>
      </c>
    </row>
    <row r="19" customFormat="false" ht="15" hidden="false" customHeight="false" outlineLevel="0" collapsed="false">
      <c r="A19" s="10" t="s">
        <v>887</v>
      </c>
      <c r="B19" s="10" t="s">
        <v>888</v>
      </c>
      <c r="C19" s="10" t="s">
        <v>854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2026-09-23T19:02:46Z</dcterms:created>
  <dc:creator>openpyxl</dc:creator>
  <dc:description/>
  <dc:language>en-US</dc:language>
  <cp:lastModifiedBy/>
  <dcterms:modified xsi:type="dcterms:W3CDTF">2026-09-23T19:02:46Z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